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rerana jagabandhu d\Downloads\"/>
    </mc:Choice>
  </mc:AlternateContent>
  <xr:revisionPtr revIDLastSave="0" documentId="13_ncr:1_{BBE40674-D228-4222-ACF1-480578A1A963}" xr6:coauthVersionLast="47" xr6:coauthVersionMax="47" xr10:uidLastSave="{00000000-0000-0000-0000-000000000000}"/>
  <bookViews>
    <workbookView xWindow="-108" yWindow="-108" windowWidth="23256" windowHeight="12456" xr2:uid="{CE120CA2-B4E2-4FC9-9B81-FB00098FDFE6}"/>
  </bookViews>
  <sheets>
    <sheet name="Project Management Data" sheetId="2" r:id="rId1"/>
    <sheet name="Clean and Transformed Data" sheetId="3" r:id="rId2"/>
    <sheet name="Pivots" sheetId="4" r:id="rId3"/>
    <sheet name="Dashboard" sheetId="5" r:id="rId4"/>
  </sheets>
  <definedNames>
    <definedName name="_xlnm._FilterDatabase" localSheetId="1" hidden="1">'Clean and Transformed Data'!$A$1:$I$47</definedName>
    <definedName name="_xlnm._FilterDatabase" localSheetId="0" hidden="1">'Project Management Data'!$B$6:$H$52</definedName>
    <definedName name="Slicer_Near_end">#N/A</definedName>
    <definedName name="Slicer_Project_Name">#N/A</definedName>
    <definedName name="Slicer_Start_Month">#N/A</definedName>
    <definedName name="Slicer_Status">#N/A</definedName>
    <definedName name="Slicer_Status1">#N/A</definedName>
  </definedNames>
  <calcPr calcId="191029"/>
  <pivotCaches>
    <pivotCache cacheId="2"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3" i="3"/>
  <c r="F34" i="3"/>
  <c r="F35" i="3"/>
  <c r="F36" i="3"/>
  <c r="F37" i="3"/>
  <c r="F38" i="3"/>
  <c r="F39" i="3"/>
  <c r="F40" i="3"/>
  <c r="F41" i="3"/>
  <c r="F42" i="3"/>
  <c r="F43" i="3"/>
  <c r="F44" i="3"/>
  <c r="F45" i="3"/>
  <c r="F46" i="3"/>
  <c r="F47" i="3"/>
  <c r="F2" i="3"/>
  <c r="L4" i="3"/>
  <c r="G8" i="3"/>
  <c r="J8" i="3" s="1"/>
  <c r="J3" i="3"/>
  <c r="J4" i="3"/>
  <c r="J5" i="3"/>
  <c r="J6" i="3"/>
  <c r="J7"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2" i="3"/>
</calcChain>
</file>

<file path=xl/sharedStrings.xml><?xml version="1.0" encoding="utf-8"?>
<sst xmlns="http://schemas.openxmlformats.org/spreadsheetml/2006/main" count="354" uniqueCount="135">
  <si>
    <t>Excel Sample Data</t>
  </si>
  <si>
    <t>Project Management Data</t>
  </si>
  <si>
    <t>Project Name</t>
  </si>
  <si>
    <t>Task Name</t>
  </si>
  <si>
    <t>Assigned to</t>
  </si>
  <si>
    <t>Start Date</t>
  </si>
  <si>
    <t>Days Required</t>
  </si>
  <si>
    <t>End Date</t>
  </si>
  <si>
    <t>Progress</t>
  </si>
  <si>
    <t>Marketing</t>
  </si>
  <si>
    <t>Market Research</t>
  </si>
  <si>
    <t>Alice</t>
  </si>
  <si>
    <t>Content Creation</t>
  </si>
  <si>
    <t>Bob</t>
  </si>
  <si>
    <t>Social Media Planning</t>
  </si>
  <si>
    <t>Charlie</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</si>
  <si>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</si>
  <si>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</si>
  <si>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</si>
  <si>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</si>
  <si>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</si>
  <si>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</si>
  <si>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</si>
  <si>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</si>
  <si>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</si>
  <si>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</si>
  <si>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</si>
  <si>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</si>
  <si>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</si>
  <si>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</si>
  <si>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</si>
  <si>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</si>
  <si>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</si>
  <si>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</si>
  <si>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</si>
  <si>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</si>
  <si>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</si>
  <si>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</si>
  <si>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</si>
  <si>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</si>
  <si>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</si>
  <si>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</si>
  <si>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</si>
  <si>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</si>
  <si>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</si>
  <si>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</si>
  <si>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</si>
  <si>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</si>
  <si>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Feature Enhancement</t>
  </si>
  <si>
    <t>Rachel</t>
  </si>
  <si>
    <t>Code Review</t>
  </si>
  <si>
    <t>Sam</t>
  </si>
  <si>
    <t>Production</t>
  </si>
  <si>
    <t>Manufacturing</t>
  </si>
  <si>
    <t>Tim</t>
  </si>
  <si>
    <t>Quality Control</t>
  </si>
  <si>
    <t>Ursula</t>
  </si>
  <si>
    <t>Packaging Design</t>
  </si>
  <si>
    <t>Victor</t>
  </si>
  <si>
    <t>Sales</t>
  </si>
  <si>
    <t>Lead Generation</t>
  </si>
  <si>
    <t>Wendy</t>
  </si>
  <si>
    <t>Client Meetings</t>
  </si>
  <si>
    <t>Xavier</t>
  </si>
  <si>
    <t>Contract Negotiation</t>
  </si>
  <si>
    <t>Yvette</t>
  </si>
  <si>
    <t>Support</t>
  </si>
  <si>
    <t>Technical Support</t>
  </si>
  <si>
    <t>Zoe</t>
  </si>
  <si>
    <t>Bug Fixes</t>
  </si>
  <si>
    <t>Aaron</t>
  </si>
  <si>
    <t>Software Updates</t>
  </si>
  <si>
    <t>Bella</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</si>
  <si>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</si>
  <si>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</si>
  <si>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</si>
  <si>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</si>
  <si>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</si>
  <si>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</si>
  <si>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</si>
  <si>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</si>
  <si>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</si>
  <si>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</si>
  <si>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</si>
  <si>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</si>
  <si>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</si>
  <si>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Training</t>
  </si>
  <si>
    <t>Employee Training</t>
  </si>
  <si>
    <t>Isaac</t>
  </si>
  <si>
    <t>Certification Programs</t>
  </si>
  <si>
    <t>Jane</t>
  </si>
  <si>
    <t>Skill Development</t>
  </si>
  <si>
    <t>Kyle</t>
  </si>
  <si>
    <t>Events</t>
  </si>
  <si>
    <t>Event Planning</t>
  </si>
  <si>
    <t>Laura</t>
  </si>
  <si>
    <t>Conference Management</t>
  </si>
  <si>
    <t>Mike</t>
  </si>
  <si>
    <t>Sponsorship Coordinatio</t>
  </si>
  <si>
    <t>n Nancy</t>
  </si>
  <si>
    <t>Logistics</t>
  </si>
  <si>
    <t>Supply Chain Management</t>
  </si>
  <si>
    <t>Oscar</t>
  </si>
  <si>
    <t>Transportation Planning</t>
  </si>
  <si>
    <t>Patricia</t>
  </si>
  <si>
    <t>Inventory Optimization</t>
  </si>
  <si>
    <t>Quentin</t>
  </si>
  <si>
    <t>Engineering</t>
  </si>
  <si>
    <t>Product Design</t>
  </si>
  <si>
    <t>System Integration</t>
  </si>
  <si>
    <t>Prototype Testing</t>
  </si>
  <si>
    <t>Tom</t>
  </si>
  <si>
    <t>Nancy</t>
  </si>
  <si>
    <t>Status</t>
  </si>
  <si>
    <t>Row Labels</t>
  </si>
  <si>
    <t>Count of Status</t>
  </si>
  <si>
    <t>Column Labels</t>
  </si>
  <si>
    <t>Completed</t>
  </si>
  <si>
    <t>Project Management Data Analysis</t>
  </si>
  <si>
    <t>Grand Total</t>
  </si>
  <si>
    <t>Average of Progress</t>
  </si>
  <si>
    <t>29-02-2026</t>
  </si>
  <si>
    <t>n</t>
  </si>
  <si>
    <t>Near end</t>
  </si>
  <si>
    <t>Close to end</t>
  </si>
  <si>
    <t>Count of Task Name</t>
  </si>
  <si>
    <t>Okay</t>
  </si>
  <si>
    <t>Average of Days Required</t>
  </si>
  <si>
    <t>Not Started</t>
  </si>
  <si>
    <t>Pending</t>
  </si>
  <si>
    <t>Feb</t>
  </si>
  <si>
    <t>Start Month</t>
  </si>
  <si>
    <t>Jan</t>
  </si>
  <si>
    <t>Mar</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</si>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</sst>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Gill Sans MT"/>
      <family val="2"/>
      <scheme val="minor"/>
    </font>
    <font>
      <sz val="11"/>
      <color theme="1"/>
      <name val="Gill Sans MT"/>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26"/>
      <color theme="1"/>
      <name val="Arial Black"/>
      <family val="2"/>
    </font>
  </fonts>
  <fills count="4">
    <fill>
      <patternFill patternType="none"/>
    </fill>
    <fill>
      <patternFill patternType="gray125"/>
    </fill>
    <fill>
      <patternFill patternType="solid">
        <fgColor rgb="FFD9E1F2"/>
        <bgColor indexed="64"/>
      </patternFill>
    </fill>
    <fill>
      <patternFill patternType="solid">
        <fgColor rgb="FF272760"/>
        <bgColor indexed="64"/>
      </patternFill>
    </fill>
  </fills>
  <borders count="7">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9" fontId="6" fillId="0" borderId="2" xfId="1" applyFont="1" applyBorder="1" applyAlignment="1">
      <alignment vertical="center"/>
    </xf>
    <xf numFmtId="0" fontId="5" fillId="3" borderId="3"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1" applyFont="1"/>
    <xf numFmtId="14" fontId="0" fillId="0" borderId="0" xfId="0" applyNumberFormat="1"/>
    <xf numFmtId="14" fontId="6" fillId="0" borderId="2" xfId="0" applyNumberFormat="1" applyFont="1" applyBorder="1" applyAlignment="1">
      <alignment horizontal="right"/>
    </xf>
    <xf numFmtId="1" fontId="0" fillId="0" borderId="0" xfId="0" applyNumberFormat="1"/>
    <xf numFmtId="14" fontId="6" fillId="0" borderId="2" xfId="0" applyNumberFormat="1" applyFont="1" applyBorder="1" applyAlignment="1">
      <alignment horizontal="right" vertical="center"/>
    </xf>
    <xf numFmtId="9" fontId="0" fillId="0" borderId="0" xfId="0" applyNumberFormat="1" applyAlignment="1">
      <alignment horizontal="left"/>
    </xf>
    <xf numFmtId="0" fontId="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Running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336832093236052"/>
          <c:y val="0.22333094726795513"/>
          <c:w val="0.52651761419730791"/>
          <c:h val="0.6521638630398473"/>
        </c:manualLayout>
      </c:layout>
      <c:pieChart>
        <c:varyColors val="1"/>
        <c:ser>
          <c:idx val="0"/>
          <c:order val="0"/>
          <c:tx>
            <c:strRef>
              <c:f>Pivots!$B$3:$B$4</c:f>
              <c:strCache>
                <c:ptCount val="1"/>
                <c:pt idx="0">
                  <c:v>Completed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5-422C-A74E-E6299CF8FA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55-422C-A74E-E6299CF8FA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55-422C-A74E-E6299CF8FA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55-422C-A74E-E6299CF8FA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55-422C-A74E-E6299CF8FA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55-422C-A74E-E6299CF8FA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B55-422C-A74E-E6299CF8FA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Pivots!$A$5:$A$11</c:f>
              <c:strCache>
                <c:ptCount val="7"/>
                <c:pt idx="0">
                  <c:v>Customer Svc</c:v>
                </c:pt>
                <c:pt idx="1">
                  <c:v>Development</c:v>
                </c:pt>
                <c:pt idx="2">
                  <c:v>Financial</c:v>
                </c:pt>
                <c:pt idx="3">
                  <c:v>Logistics</c:v>
                </c:pt>
                <c:pt idx="4">
                  <c:v>Marketing</c:v>
                </c:pt>
                <c:pt idx="5">
                  <c:v>Product Dev</c:v>
                </c:pt>
                <c:pt idx="6">
                  <c:v>Support</c:v>
                </c:pt>
              </c:strCache>
            </c:strRef>
          </c:cat>
          <c:val>
            <c:numRef>
              <c:f>Pivots!$B$5:$B$11</c:f>
              <c:numCache>
                <c:formatCode>0.00%</c:formatCode>
                <c:ptCount val="7"/>
                <c:pt idx="0">
                  <c:v>0.22222222222222221</c:v>
                </c:pt>
                <c:pt idx="1">
                  <c:v>0.1111111111111111</c:v>
                </c:pt>
                <c:pt idx="2">
                  <c:v>0.1111111111111111</c:v>
                </c:pt>
                <c:pt idx="3">
                  <c:v>0.1111111111111111</c:v>
                </c:pt>
                <c:pt idx="4">
                  <c:v>0.1111111111111111</c:v>
                </c:pt>
                <c:pt idx="5">
                  <c:v>0.1111111111111111</c:v>
                </c:pt>
                <c:pt idx="6">
                  <c:v>0.22222222222222221</c:v>
                </c:pt>
              </c:numCache>
            </c:numRef>
          </c:val>
          <c:extLst>
            <c:ext xmlns:c16="http://schemas.microsoft.com/office/drawing/2014/chart" uri="{C3380CC4-5D6E-409C-BE32-E72D297353CC}">
              <c16:uniqueId val="{00000000-1008-4F69-A005-96D2CEC8953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1780402449693"/>
          <c:y val="0.21337962962962964"/>
          <c:w val="0.71356408573928254"/>
          <c:h val="0.62308654126567509"/>
        </c:manualLayout>
      </c:layout>
      <c:barChart>
        <c:barDir val="bar"/>
        <c:grouping val="clustered"/>
        <c:varyColors val="0"/>
        <c:ser>
          <c:idx val="0"/>
          <c:order val="0"/>
          <c:tx>
            <c:strRef>
              <c:f>Pivots!$B$13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Pivots!$A$14:$A$20</c:f>
              <c:strCache>
                <c:ptCount val="7"/>
                <c:pt idx="0">
                  <c:v>Customer Svc</c:v>
                </c:pt>
                <c:pt idx="1">
                  <c:v>Development</c:v>
                </c:pt>
                <c:pt idx="2">
                  <c:v>Financial</c:v>
                </c:pt>
                <c:pt idx="3">
                  <c:v>Logistics</c:v>
                </c:pt>
                <c:pt idx="4">
                  <c:v>Marketing</c:v>
                </c:pt>
                <c:pt idx="5">
                  <c:v>Product Dev</c:v>
                </c:pt>
                <c:pt idx="6">
                  <c:v>Support</c:v>
                </c:pt>
              </c:strCache>
            </c:strRef>
          </c:cat>
          <c:val>
            <c:numRef>
              <c:f>Pivots!$B$14:$B$20</c:f>
              <c:numCache>
                <c:formatCode>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5814-4B1A-8B40-6BBEA33F4240}"/>
            </c:ext>
          </c:extLst>
        </c:ser>
        <c:dLbls>
          <c:dLblPos val="outEnd"/>
          <c:showLegendKey val="0"/>
          <c:showVal val="1"/>
          <c:showCatName val="0"/>
          <c:showSerName val="0"/>
          <c:showPercent val="0"/>
          <c:showBubbleSize val="0"/>
        </c:dLbls>
        <c:gapWidth val="182"/>
        <c:axId val="47978944"/>
        <c:axId val="47972224"/>
      </c:barChart>
      <c:catAx>
        <c:axId val="4797894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2224"/>
        <c:crosses val="autoZero"/>
        <c:auto val="1"/>
        <c:lblAlgn val="ctr"/>
        <c:lblOffset val="100"/>
        <c:noMultiLvlLbl val="0"/>
      </c:catAx>
      <c:valAx>
        <c:axId val="47972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a:t>
            </a:r>
            <a:r>
              <a:rPr lang="en-US" baseline="0"/>
              <a:t>s At Risk of Being Delayed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8C-41D8-A5BB-C18A19A51E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A0E-4165-A11D-4863E6B14C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Pivots!$A$33:$A$34</c:f>
              <c:strCache>
                <c:ptCount val="2"/>
                <c:pt idx="0">
                  <c:v>Close to end</c:v>
                </c:pt>
                <c:pt idx="1">
                  <c:v>Okay</c:v>
                </c:pt>
              </c:strCache>
            </c:strRef>
          </c:cat>
          <c:val>
            <c:numRef>
              <c:f>Pivots!$B$33:$B$34</c:f>
              <c:numCache>
                <c:formatCode>0.00%</c:formatCode>
                <c:ptCount val="2"/>
                <c:pt idx="0">
                  <c:v>0.34782608695652173</c:v>
                </c:pt>
                <c:pt idx="1">
                  <c:v>0.65217391304347827</c:v>
                </c:pt>
              </c:numCache>
            </c:numRef>
          </c:val>
          <c:extLst>
            <c:ext xmlns:c16="http://schemas.microsoft.com/office/drawing/2014/chart" uri="{C3380CC4-5D6E-409C-BE32-E72D297353CC}">
              <c16:uniqueId val="{00000000-7A0E-4165-A11D-4863E6B14C3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Task</a:t>
            </a:r>
            <a:r>
              <a:rPr lang="en-IN" baseline="0"/>
              <a:t> Duration vs Completion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Pivots!$B$49:$B$50</c:f>
              <c:strCache>
                <c:ptCount val="1"/>
                <c:pt idx="0">
                  <c:v>Completed</c:v>
                </c:pt>
              </c:strCache>
            </c:strRef>
          </c:tx>
          <c:spPr>
            <a:solidFill>
              <a:schemeClr val="accent1"/>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Pivots!$B$51:$B$65</c:f>
              <c:numCache>
                <c:formatCode>0</c:formatCode>
                <c:ptCount val="15"/>
                <c:pt idx="1">
                  <c:v>23.5</c:v>
                </c:pt>
                <c:pt idx="2">
                  <c:v>36</c:v>
                </c:pt>
                <c:pt idx="5">
                  <c:v>25</c:v>
                </c:pt>
                <c:pt idx="6">
                  <c:v>30</c:v>
                </c:pt>
                <c:pt idx="7">
                  <c:v>14</c:v>
                </c:pt>
                <c:pt idx="9">
                  <c:v>18</c:v>
                </c:pt>
                <c:pt idx="13">
                  <c:v>28</c:v>
                </c:pt>
              </c:numCache>
            </c:numRef>
          </c:val>
          <c:extLst>
            <c:ext xmlns:c16="http://schemas.microsoft.com/office/drawing/2014/chart" uri="{C3380CC4-5D6E-409C-BE32-E72D297353CC}">
              <c16:uniqueId val="{00000000-F369-4DB1-9AE3-4378B3F30944}"/>
            </c:ext>
          </c:extLst>
        </c:ser>
        <c:ser>
          <c:idx val="1"/>
          <c:order val="1"/>
          <c:tx>
            <c:strRef>
              <c:f>Pivots!$C$49:$C$50</c:f>
              <c:strCache>
                <c:ptCount val="1"/>
                <c:pt idx="0">
                  <c:v>Not Started</c:v>
                </c:pt>
              </c:strCache>
            </c:strRef>
          </c:tx>
          <c:spPr>
            <a:solidFill>
              <a:schemeClr val="accent2"/>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Pivots!$C$51:$C$65</c:f>
              <c:numCache>
                <c:formatCode>0</c:formatCode>
                <c:ptCount val="15"/>
                <c:pt idx="0">
                  <c:v>28.5</c:v>
                </c:pt>
                <c:pt idx="1">
                  <c:v>30</c:v>
                </c:pt>
                <c:pt idx="2">
                  <c:v>32</c:v>
                </c:pt>
                <c:pt idx="3">
                  <c:v>24.5</c:v>
                </c:pt>
                <c:pt idx="4">
                  <c:v>27.5</c:v>
                </c:pt>
                <c:pt idx="6">
                  <c:v>20</c:v>
                </c:pt>
                <c:pt idx="7">
                  <c:v>25</c:v>
                </c:pt>
                <c:pt idx="8">
                  <c:v>22.5</c:v>
                </c:pt>
                <c:pt idx="9">
                  <c:v>25</c:v>
                </c:pt>
                <c:pt idx="10">
                  <c:v>24.5</c:v>
                </c:pt>
                <c:pt idx="11">
                  <c:v>29.5</c:v>
                </c:pt>
                <c:pt idx="12">
                  <c:v>35</c:v>
                </c:pt>
                <c:pt idx="13">
                  <c:v>22</c:v>
                </c:pt>
                <c:pt idx="14">
                  <c:v>26</c:v>
                </c:pt>
              </c:numCache>
            </c:numRef>
          </c:val>
          <c:extLst>
            <c:ext xmlns:c16="http://schemas.microsoft.com/office/drawing/2014/chart" uri="{C3380CC4-5D6E-409C-BE32-E72D297353CC}">
              <c16:uniqueId val="{00000001-F369-4DB1-9AE3-4378B3F30944}"/>
            </c:ext>
          </c:extLst>
        </c:ser>
        <c:ser>
          <c:idx val="2"/>
          <c:order val="2"/>
          <c:tx>
            <c:strRef>
              <c:f>Pivots!$D$49:$D$50</c:f>
              <c:strCache>
                <c:ptCount val="1"/>
                <c:pt idx="0">
                  <c:v>Pending</c:v>
                </c:pt>
              </c:strCache>
            </c:strRef>
          </c:tx>
          <c:spPr>
            <a:solidFill>
              <a:schemeClr val="accent3"/>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Pivots!$D$51:$D$65</c:f>
              <c:numCache>
                <c:formatCode>0</c:formatCode>
                <c:ptCount val="15"/>
                <c:pt idx="0">
                  <c:v>35</c:v>
                </c:pt>
                <c:pt idx="3">
                  <c:v>25</c:v>
                </c:pt>
                <c:pt idx="4">
                  <c:v>25</c:v>
                </c:pt>
                <c:pt idx="5">
                  <c:v>21.5</c:v>
                </c:pt>
                <c:pt idx="6">
                  <c:v>25</c:v>
                </c:pt>
                <c:pt idx="7">
                  <c:v>17.5</c:v>
                </c:pt>
                <c:pt idx="8">
                  <c:v>30</c:v>
                </c:pt>
                <c:pt idx="9">
                  <c:v>10</c:v>
                </c:pt>
                <c:pt idx="10">
                  <c:v>47</c:v>
                </c:pt>
                <c:pt idx="11">
                  <c:v>23</c:v>
                </c:pt>
                <c:pt idx="12">
                  <c:v>40</c:v>
                </c:pt>
                <c:pt idx="14">
                  <c:v>27</c:v>
                </c:pt>
              </c:numCache>
            </c:numRef>
          </c:val>
          <c:extLst>
            <c:ext xmlns:c16="http://schemas.microsoft.com/office/drawing/2014/chart" uri="{C3380CC4-5D6E-409C-BE32-E72D297353CC}">
              <c16:uniqueId val="{00000000-6AEA-4770-A9F2-68EEDE188D52}"/>
            </c:ext>
          </c:extLst>
        </c:ser>
        <c:dLbls>
          <c:showLegendKey val="0"/>
          <c:showVal val="0"/>
          <c:showCatName val="0"/>
          <c:showSerName val="0"/>
          <c:showPercent val="0"/>
          <c:showBubbleSize val="0"/>
        </c:dLbls>
        <c:gapWidth val="219"/>
        <c:overlap val="-27"/>
        <c:axId val="363111792"/>
        <c:axId val="363109392"/>
      </c:barChart>
      <c:catAx>
        <c:axId val="36311179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09392"/>
        <c:crosses val="autoZero"/>
        <c:auto val="1"/>
        <c:lblAlgn val="ctr"/>
        <c:lblOffset val="100"/>
        <c:noMultiLvlLbl val="0"/>
      </c:catAx>
      <c:valAx>
        <c:axId val="363109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1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Tasks</a:t>
            </a:r>
            <a:r>
              <a:rPr lang="en-IN" baseline="0"/>
              <a:t> every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Pivots!$B$69</c:f>
              <c:strCache>
                <c:ptCount val="1"/>
                <c:pt idx="0">
                  <c:v>Total</c:v>
                </c:pt>
              </c:strCache>
            </c:strRef>
          </c:tx>
          <c:spPr>
            <a:ln w="28575" cap="rnd">
              <a:solidFill>
                <a:schemeClr val="accent1"/>
              </a:solidFill>
              <a:round/>
            </a:ln>
            <a:effectLst/>
          </c:spPr>
          <c:marker>
            <c:symbol val="none"/>
          </c:marker>
          <c:cat>
            <c:strRef>
              <c:f>Pivots!$A$70:$A$73</c:f>
              <c:strCache>
                <c:ptCount val="3"/>
                <c:pt idx="0">
                  <c:v>Jan</c:v>
                </c:pt>
                <c:pt idx="1">
                  <c:v>Feb</c:v>
                </c:pt>
                <c:pt idx="2">
                  <c:v>Mar</c:v>
                </c:pt>
              </c:strCache>
            </c:strRef>
          </c:cat>
          <c:val>
            <c:numRef>
              <c:f>Pivots!$B$70:$B$73</c:f>
              <c:numCache>
                <c:formatCode>General</c:formatCode>
                <c:ptCount val="3"/>
                <c:pt idx="0">
                  <c:v>21</c:v>
                </c:pt>
                <c:pt idx="1">
                  <c:v>18</c:v>
                </c:pt>
                <c:pt idx="2">
                  <c:v>7</c:v>
                </c:pt>
              </c:numCache>
            </c:numRef>
          </c:val>
          <c:smooth val="0"/>
          <c:extLst>
            <c:ext xmlns:c16="http://schemas.microsoft.com/office/drawing/2014/chart" uri="{C3380CC4-5D6E-409C-BE32-E72D297353CC}">
              <c16:uniqueId val="{00000000-9729-42BD-8C2C-E4DA58957DAC}"/>
            </c:ext>
          </c:extLst>
        </c:ser>
        <c:dLbls>
          <c:showLegendKey val="0"/>
          <c:showVal val="0"/>
          <c:showCatName val="0"/>
          <c:showSerName val="0"/>
          <c:showPercent val="0"/>
          <c:showBubbleSize val="0"/>
        </c:dLbls>
        <c:smooth val="0"/>
        <c:axId val="582759119"/>
        <c:axId val="582759599"/>
      </c:lineChart>
      <c:catAx>
        <c:axId val="58275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59599"/>
        <c:crosses val="autoZero"/>
        <c:auto val="1"/>
        <c:lblAlgn val="ctr"/>
        <c:lblOffset val="100"/>
        <c:noMultiLvlLbl val="0"/>
      </c:catAx>
      <c:valAx>
        <c:axId val="58275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Long-Duration Task Progress</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3-426B-91D3-FE75104E57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43-426B-91D3-FE75104E57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43-426B-91D3-FE75104E57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43-426B-91D3-FE75104E57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43-426B-91D3-FE75104E57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43-426B-91D3-FE75104E571C}"/>
              </c:ext>
            </c:extLst>
          </c:dPt>
          <c:cat>
            <c:strRef>
              <c:f>Pivots!$A$85:$A$91</c:f>
              <c:strCache>
                <c:ptCount val="6"/>
                <c:pt idx="0">
                  <c:v>0%</c:v>
                </c:pt>
                <c:pt idx="1">
                  <c:v>30%</c:v>
                </c:pt>
                <c:pt idx="2">
                  <c:v>40%</c:v>
                </c:pt>
                <c:pt idx="3">
                  <c:v>60%</c:v>
                </c:pt>
                <c:pt idx="4">
                  <c:v>70%</c:v>
                </c:pt>
                <c:pt idx="5">
                  <c:v>100%</c:v>
                </c:pt>
              </c:strCache>
            </c:strRef>
          </c:cat>
          <c:val>
            <c:numRef>
              <c:f>Pivots!$B$85:$B$91</c:f>
              <c:numCache>
                <c:formatCode>General</c:formatCode>
                <c:ptCount val="6"/>
                <c:pt idx="0">
                  <c:v>8</c:v>
                </c:pt>
                <c:pt idx="1">
                  <c:v>1</c:v>
                </c:pt>
                <c:pt idx="2">
                  <c:v>1</c:v>
                </c:pt>
                <c:pt idx="3">
                  <c:v>1</c:v>
                </c:pt>
                <c:pt idx="4">
                  <c:v>1</c:v>
                </c:pt>
                <c:pt idx="5">
                  <c:v>3</c:v>
                </c:pt>
              </c:numCache>
            </c:numRef>
          </c:val>
          <c:extLst>
            <c:ext xmlns:c16="http://schemas.microsoft.com/office/drawing/2014/chart" uri="{C3380CC4-5D6E-409C-BE32-E72D297353CC}">
              <c16:uniqueId val="{00000000-86A9-4E8F-966D-B8017FF594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r>
              <a:rPr lang="en-US" baseline="0"/>
              <a:t> Running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2336832093236052"/>
          <c:y val="0.22333094726795513"/>
          <c:w val="0.52651761419730791"/>
          <c:h val="0.6521638630398473"/>
        </c:manualLayout>
      </c:layout>
      <c:pieChart>
        <c:varyColors val="1"/>
        <c:ser>
          <c:idx val="0"/>
          <c:order val="0"/>
          <c:tx>
            <c:strRef>
              <c:f>Pivots!$B$3:$B$4</c:f>
              <c:strCache>
                <c:ptCount val="1"/>
                <c:pt idx="0">
                  <c:v>Completed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2E-4E57-8C0A-D20E6E862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2E-4E57-8C0A-D20E6E862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2E-4E57-8C0A-D20E6E862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2E-4E57-8C0A-D20E6E8622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2E-4E57-8C0A-D20E6E8622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2E-4E57-8C0A-D20E6E8622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02E-4E57-8C0A-D20E6E8622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02E-4E57-8C0A-D20E6E8622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02E-4E57-8C0A-D20E6E8622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02E-4E57-8C0A-D20E6E8622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02E-4E57-8C0A-D20E6E8622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02E-4E57-8C0A-D20E6E8622E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Pivots!$A$5:$A$11</c:f>
              <c:strCache>
                <c:ptCount val="7"/>
                <c:pt idx="0">
                  <c:v>Customer Svc</c:v>
                </c:pt>
                <c:pt idx="1">
                  <c:v>Development</c:v>
                </c:pt>
                <c:pt idx="2">
                  <c:v>Financial</c:v>
                </c:pt>
                <c:pt idx="3">
                  <c:v>Logistics</c:v>
                </c:pt>
                <c:pt idx="4">
                  <c:v>Marketing</c:v>
                </c:pt>
                <c:pt idx="5">
                  <c:v>Product Dev</c:v>
                </c:pt>
                <c:pt idx="6">
                  <c:v>Support</c:v>
                </c:pt>
              </c:strCache>
            </c:strRef>
          </c:cat>
          <c:val>
            <c:numRef>
              <c:f>Pivots!$B$5:$B$11</c:f>
              <c:numCache>
                <c:formatCode>0.00%</c:formatCode>
                <c:ptCount val="7"/>
                <c:pt idx="0">
                  <c:v>0.22222222222222221</c:v>
                </c:pt>
                <c:pt idx="1">
                  <c:v>0.1111111111111111</c:v>
                </c:pt>
                <c:pt idx="2">
                  <c:v>0.1111111111111111</c:v>
                </c:pt>
                <c:pt idx="3">
                  <c:v>0.1111111111111111</c:v>
                </c:pt>
                <c:pt idx="4">
                  <c:v>0.1111111111111111</c:v>
                </c:pt>
                <c:pt idx="5">
                  <c:v>0.1111111111111111</c:v>
                </c:pt>
                <c:pt idx="6">
                  <c:v>0.22222222222222221</c:v>
                </c:pt>
              </c:numCache>
            </c:numRef>
          </c:val>
          <c:extLst>
            <c:ext xmlns:c16="http://schemas.microsoft.com/office/drawing/2014/chart" uri="{C3380CC4-5D6E-409C-BE32-E72D297353CC}">
              <c16:uniqueId val="{00000018-C02E-4E57-8C0A-D20E6E8622E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Task</a:t>
            </a:r>
            <a:r>
              <a:rPr lang="en-IN" baseline="0"/>
              <a:t> vs Progress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47600329863073"/>
          <c:y val="0.17634259259259263"/>
          <c:w val="0.71356408573928254"/>
          <c:h val="0.62308654126567509"/>
        </c:manualLayout>
      </c:layout>
      <c:barChart>
        <c:barDir val="bar"/>
        <c:grouping val="clustered"/>
        <c:varyColors val="0"/>
        <c:ser>
          <c:idx val="0"/>
          <c:order val="0"/>
          <c:tx>
            <c:strRef>
              <c:f>Pivots!$B$13</c:f>
              <c:strCache>
                <c:ptCount val="1"/>
                <c:pt idx="0">
                  <c:v>Total</c:v>
                </c:pt>
              </c:strCache>
            </c:strRef>
          </c:tx>
          <c:spPr>
            <a:solidFill>
              <a:schemeClr val="accent4"/>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Pivots!$A$14:$A$20</c:f>
              <c:strCache>
                <c:ptCount val="7"/>
                <c:pt idx="0">
                  <c:v>Customer Svc</c:v>
                </c:pt>
                <c:pt idx="1">
                  <c:v>Development</c:v>
                </c:pt>
                <c:pt idx="2">
                  <c:v>Financial</c:v>
                </c:pt>
                <c:pt idx="3">
                  <c:v>Logistics</c:v>
                </c:pt>
                <c:pt idx="4">
                  <c:v>Marketing</c:v>
                </c:pt>
                <c:pt idx="5">
                  <c:v>Product Dev</c:v>
                </c:pt>
                <c:pt idx="6">
                  <c:v>Support</c:v>
                </c:pt>
              </c:strCache>
            </c:strRef>
          </c:cat>
          <c:val>
            <c:numRef>
              <c:f>Pivots!$B$14:$B$20</c:f>
              <c:numCache>
                <c:formatCode>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15B5-4001-BEA1-9293D8E67CD2}"/>
            </c:ext>
          </c:extLst>
        </c:ser>
        <c:dLbls>
          <c:dLblPos val="outEnd"/>
          <c:showLegendKey val="0"/>
          <c:showVal val="1"/>
          <c:showCatName val="0"/>
          <c:showSerName val="0"/>
          <c:showPercent val="0"/>
          <c:showBubbleSize val="0"/>
        </c:dLbls>
        <c:gapWidth val="182"/>
        <c:axId val="47978944"/>
        <c:axId val="47972224"/>
      </c:barChart>
      <c:catAx>
        <c:axId val="4797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2224"/>
        <c:crosses val="autoZero"/>
        <c:auto val="1"/>
        <c:lblAlgn val="ctr"/>
        <c:lblOffset val="100"/>
        <c:noMultiLvlLbl val="0"/>
      </c:catAx>
      <c:valAx>
        <c:axId val="479722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27000" dist="50800" dir="5400000" sx="1000" sy="1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a:t>
            </a:r>
            <a:r>
              <a:rPr lang="en-US" baseline="0"/>
              <a:t>s At Risk of Being Delayed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F7-460E-8C51-00335491B8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F7-460E-8C51-00335491B8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Pivots!$A$33:$A$34</c:f>
              <c:strCache>
                <c:ptCount val="2"/>
                <c:pt idx="0">
                  <c:v>Close to end</c:v>
                </c:pt>
                <c:pt idx="1">
                  <c:v>Okay</c:v>
                </c:pt>
              </c:strCache>
            </c:strRef>
          </c:cat>
          <c:val>
            <c:numRef>
              <c:f>Pivots!$B$33:$B$34</c:f>
              <c:numCache>
                <c:formatCode>0.00%</c:formatCode>
                <c:ptCount val="2"/>
                <c:pt idx="0">
                  <c:v>0.34782608695652173</c:v>
                </c:pt>
                <c:pt idx="1">
                  <c:v>0.65217391304347827</c:v>
                </c:pt>
              </c:numCache>
            </c:numRef>
          </c:val>
          <c:extLst>
            <c:ext xmlns:c16="http://schemas.microsoft.com/office/drawing/2014/chart" uri="{C3380CC4-5D6E-409C-BE32-E72D297353CC}">
              <c16:uniqueId val="{00000004-24F7-460E-8C51-00335491B85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Task</a:t>
            </a:r>
            <a:r>
              <a:rPr lang="en-IN" baseline="0"/>
              <a:t> Duration vs Completion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Pivots!$B$49:$B$50</c:f>
              <c:strCache>
                <c:ptCount val="1"/>
                <c:pt idx="0">
                  <c:v>Completed</c:v>
                </c:pt>
              </c:strCache>
            </c:strRef>
          </c:tx>
          <c:spPr>
            <a:solidFill>
              <a:schemeClr val="accent1"/>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Pivots!$B$51:$B$65</c:f>
              <c:numCache>
                <c:formatCode>0</c:formatCode>
                <c:ptCount val="15"/>
                <c:pt idx="1">
                  <c:v>23.5</c:v>
                </c:pt>
                <c:pt idx="2">
                  <c:v>36</c:v>
                </c:pt>
                <c:pt idx="5">
                  <c:v>25</c:v>
                </c:pt>
                <c:pt idx="6">
                  <c:v>30</c:v>
                </c:pt>
                <c:pt idx="7">
                  <c:v>14</c:v>
                </c:pt>
                <c:pt idx="9">
                  <c:v>18</c:v>
                </c:pt>
                <c:pt idx="13">
                  <c:v>28</c:v>
                </c:pt>
              </c:numCache>
            </c:numRef>
          </c:val>
          <c:extLst>
            <c:ext xmlns:c16="http://schemas.microsoft.com/office/drawing/2014/chart" uri="{C3380CC4-5D6E-409C-BE32-E72D297353CC}">
              <c16:uniqueId val="{00000000-1B1E-4DB9-A708-E996E6B97271}"/>
            </c:ext>
          </c:extLst>
        </c:ser>
        <c:ser>
          <c:idx val="1"/>
          <c:order val="1"/>
          <c:tx>
            <c:strRef>
              <c:f>Pivots!$C$49:$C$50</c:f>
              <c:strCache>
                <c:ptCount val="1"/>
                <c:pt idx="0">
                  <c:v>Not Started</c:v>
                </c:pt>
              </c:strCache>
            </c:strRef>
          </c:tx>
          <c:spPr>
            <a:solidFill>
              <a:schemeClr val="accent2"/>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Pivots!$C$51:$C$65</c:f>
              <c:numCache>
                <c:formatCode>0</c:formatCode>
                <c:ptCount val="15"/>
                <c:pt idx="0">
                  <c:v>28.5</c:v>
                </c:pt>
                <c:pt idx="1">
                  <c:v>30</c:v>
                </c:pt>
                <c:pt idx="2">
                  <c:v>32</c:v>
                </c:pt>
                <c:pt idx="3">
                  <c:v>24.5</c:v>
                </c:pt>
                <c:pt idx="4">
                  <c:v>27.5</c:v>
                </c:pt>
                <c:pt idx="6">
                  <c:v>20</c:v>
                </c:pt>
                <c:pt idx="7">
                  <c:v>25</c:v>
                </c:pt>
                <c:pt idx="8">
                  <c:v>22.5</c:v>
                </c:pt>
                <c:pt idx="9">
                  <c:v>25</c:v>
                </c:pt>
                <c:pt idx="10">
                  <c:v>24.5</c:v>
                </c:pt>
                <c:pt idx="11">
                  <c:v>29.5</c:v>
                </c:pt>
                <c:pt idx="12">
                  <c:v>35</c:v>
                </c:pt>
                <c:pt idx="13">
                  <c:v>22</c:v>
                </c:pt>
                <c:pt idx="14">
                  <c:v>26</c:v>
                </c:pt>
              </c:numCache>
            </c:numRef>
          </c:val>
          <c:extLst>
            <c:ext xmlns:c16="http://schemas.microsoft.com/office/drawing/2014/chart" uri="{C3380CC4-5D6E-409C-BE32-E72D297353CC}">
              <c16:uniqueId val="{00000001-1B1E-4DB9-A708-E996E6B97271}"/>
            </c:ext>
          </c:extLst>
        </c:ser>
        <c:ser>
          <c:idx val="2"/>
          <c:order val="2"/>
          <c:tx>
            <c:strRef>
              <c:f>Pivots!$D$49:$D$50</c:f>
              <c:strCache>
                <c:ptCount val="1"/>
                <c:pt idx="0">
                  <c:v>Pending</c:v>
                </c:pt>
              </c:strCache>
            </c:strRef>
          </c:tx>
          <c:spPr>
            <a:solidFill>
              <a:schemeClr val="accent3"/>
            </a:solidFill>
            <a:ln>
              <a:noFill/>
            </a:ln>
            <a:effectLst/>
          </c:spPr>
          <c:invertIfNegative val="0"/>
          <c:cat>
            <c:strRef>
              <c:f>Pivots!$A$51:$A$65</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Pivots!$D$51:$D$65</c:f>
              <c:numCache>
                <c:formatCode>0</c:formatCode>
                <c:ptCount val="15"/>
                <c:pt idx="0">
                  <c:v>35</c:v>
                </c:pt>
                <c:pt idx="3">
                  <c:v>25</c:v>
                </c:pt>
                <c:pt idx="4">
                  <c:v>25</c:v>
                </c:pt>
                <c:pt idx="5">
                  <c:v>21.5</c:v>
                </c:pt>
                <c:pt idx="6">
                  <c:v>25</c:v>
                </c:pt>
                <c:pt idx="7">
                  <c:v>17.5</c:v>
                </c:pt>
                <c:pt idx="8">
                  <c:v>30</c:v>
                </c:pt>
                <c:pt idx="9">
                  <c:v>10</c:v>
                </c:pt>
                <c:pt idx="10">
                  <c:v>47</c:v>
                </c:pt>
                <c:pt idx="11">
                  <c:v>23</c:v>
                </c:pt>
                <c:pt idx="12">
                  <c:v>40</c:v>
                </c:pt>
                <c:pt idx="14">
                  <c:v>27</c:v>
                </c:pt>
              </c:numCache>
            </c:numRef>
          </c:val>
          <c:extLst>
            <c:ext xmlns:c16="http://schemas.microsoft.com/office/drawing/2014/chart" uri="{C3380CC4-5D6E-409C-BE32-E72D297353CC}">
              <c16:uniqueId val="{00000001-F0F6-49CB-9330-EE8B629C6922}"/>
            </c:ext>
          </c:extLst>
        </c:ser>
        <c:dLbls>
          <c:showLegendKey val="0"/>
          <c:showVal val="0"/>
          <c:showCatName val="0"/>
          <c:showSerName val="0"/>
          <c:showPercent val="0"/>
          <c:showBubbleSize val="0"/>
        </c:dLbls>
        <c:gapWidth val="219"/>
        <c:overlap val="-27"/>
        <c:axId val="363111792"/>
        <c:axId val="363109392"/>
      </c:barChart>
      <c:catAx>
        <c:axId val="36311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09392"/>
        <c:crosses val="autoZero"/>
        <c:auto val="1"/>
        <c:lblAlgn val="ctr"/>
        <c:lblOffset val="100"/>
        <c:noMultiLvlLbl val="0"/>
      </c:catAx>
      <c:valAx>
        <c:axId val="363109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1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Tasks</a:t>
            </a:r>
            <a:r>
              <a:rPr lang="en-IN" baseline="0"/>
              <a:t> every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Pivots!$B$69</c:f>
              <c:strCache>
                <c:ptCount val="1"/>
                <c:pt idx="0">
                  <c:v>Total</c:v>
                </c:pt>
              </c:strCache>
            </c:strRef>
          </c:tx>
          <c:spPr>
            <a:ln w="28575" cap="rnd">
              <a:solidFill>
                <a:schemeClr val="accent2">
                  <a:lumMod val="75000"/>
                </a:schemeClr>
              </a:solidFill>
              <a:round/>
            </a:ln>
            <a:effectLst/>
          </c:spPr>
          <c:marker>
            <c:symbol val="none"/>
          </c:marker>
          <c:cat>
            <c:strRef>
              <c:f>Pivots!$A$70:$A$73</c:f>
              <c:strCache>
                <c:ptCount val="3"/>
                <c:pt idx="0">
                  <c:v>Jan</c:v>
                </c:pt>
                <c:pt idx="1">
                  <c:v>Feb</c:v>
                </c:pt>
                <c:pt idx="2">
                  <c:v>Mar</c:v>
                </c:pt>
              </c:strCache>
            </c:strRef>
          </c:cat>
          <c:val>
            <c:numRef>
              <c:f>Pivots!$B$70:$B$73</c:f>
              <c:numCache>
                <c:formatCode>General</c:formatCode>
                <c:ptCount val="3"/>
                <c:pt idx="0">
                  <c:v>21</c:v>
                </c:pt>
                <c:pt idx="1">
                  <c:v>18</c:v>
                </c:pt>
                <c:pt idx="2">
                  <c:v>7</c:v>
                </c:pt>
              </c:numCache>
            </c:numRef>
          </c:val>
          <c:smooth val="0"/>
          <c:extLst>
            <c:ext xmlns:c16="http://schemas.microsoft.com/office/drawing/2014/chart" uri="{C3380CC4-5D6E-409C-BE32-E72D297353CC}">
              <c16:uniqueId val="{00000000-E1E9-428A-8F41-24F475793BA5}"/>
            </c:ext>
          </c:extLst>
        </c:ser>
        <c:dLbls>
          <c:showLegendKey val="0"/>
          <c:showVal val="0"/>
          <c:showCatName val="0"/>
          <c:showSerName val="0"/>
          <c:showPercent val="0"/>
          <c:showBubbleSize val="0"/>
        </c:dLbls>
        <c:smooth val="0"/>
        <c:axId val="582759119"/>
        <c:axId val="582759599"/>
      </c:lineChart>
      <c:catAx>
        <c:axId val="58275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59599"/>
        <c:crosses val="autoZero"/>
        <c:auto val="1"/>
        <c:lblAlgn val="ctr"/>
        <c:lblOffset val="100"/>
        <c:noMultiLvlLbl val="0"/>
      </c:catAx>
      <c:valAx>
        <c:axId val="58275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Long-Duration Task Progress</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Pivots!$B$84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BA-4146-9351-2220A36FD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BA-4146-9351-2220A36FD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BA-4146-9351-2220A36FD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BA-4146-9351-2220A36FD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BA-4146-9351-2220A36FD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BA-4146-9351-2220A36FD6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Pivots!$A$85:$A$91</c:f>
              <c:strCache>
                <c:ptCount val="6"/>
                <c:pt idx="0">
                  <c:v>0%</c:v>
                </c:pt>
                <c:pt idx="1">
                  <c:v>30%</c:v>
                </c:pt>
                <c:pt idx="2">
                  <c:v>40%</c:v>
                </c:pt>
                <c:pt idx="3">
                  <c:v>60%</c:v>
                </c:pt>
                <c:pt idx="4">
                  <c:v>70%</c:v>
                </c:pt>
                <c:pt idx="5">
                  <c:v>100%</c:v>
                </c:pt>
              </c:strCache>
            </c:strRef>
          </c:cat>
          <c:val>
            <c:numRef>
              <c:f>Pivots!$B$85:$B$91</c:f>
              <c:numCache>
                <c:formatCode>General</c:formatCode>
                <c:ptCount val="6"/>
                <c:pt idx="0">
                  <c:v>8</c:v>
                </c:pt>
                <c:pt idx="1">
                  <c:v>1</c:v>
                </c:pt>
                <c:pt idx="2">
                  <c:v>1</c:v>
                </c:pt>
                <c:pt idx="3">
                  <c:v>1</c:v>
                </c:pt>
                <c:pt idx="4">
                  <c:v>1</c:v>
                </c:pt>
                <c:pt idx="5">
                  <c:v>3</c:v>
                </c:pt>
              </c:numCache>
            </c:numRef>
          </c:val>
          <c:extLst>
            <c:ext xmlns:c16="http://schemas.microsoft.com/office/drawing/2014/chart" uri="{C3380CC4-5D6E-409C-BE32-E72D297353CC}">
              <c16:uniqueId val="{0000000C-83BA-4146-9351-2220A36FD62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167640</xdr:colOff>
      <xdr:row>2</xdr:row>
      <xdr:rowOff>152400</xdr:rowOff>
    </xdr:from>
    <xdr:to>
      <xdr:col>15</xdr:col>
      <xdr:colOff>38100</xdr:colOff>
      <xdr:row>21</xdr:row>
      <xdr:rowOff>30480</xdr:rowOff>
    </xdr:to>
    <xdr:graphicFrame macro="">
      <xdr:nvGraphicFramePr>
        <xdr:cNvPr id="2" name="Chart 1">
          <a:extLst>
            <a:ext uri="{FF2B5EF4-FFF2-40B4-BE49-F238E27FC236}">
              <a16:creationId xmlns:a16="http://schemas.microsoft.com/office/drawing/2014/main" id="{7E8A27DD-ACD3-15F4-4E0D-7D5793CF4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1</xdr:row>
      <xdr:rowOff>83821</xdr:rowOff>
    </xdr:from>
    <xdr:to>
      <xdr:col>9</xdr:col>
      <xdr:colOff>144780</xdr:colOff>
      <xdr:row>6</xdr:row>
      <xdr:rowOff>144781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41D2B240-B5A7-9875-6D1E-77E04755F92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345180" y="26670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144780</xdr:colOff>
      <xdr:row>14</xdr:row>
      <xdr:rowOff>60960</xdr:rowOff>
    </xdr:from>
    <xdr:to>
      <xdr:col>14</xdr:col>
      <xdr:colOff>388620</xdr:colOff>
      <xdr:row>29</xdr:row>
      <xdr:rowOff>60960</xdr:rowOff>
    </xdr:to>
    <xdr:graphicFrame macro="">
      <xdr:nvGraphicFramePr>
        <xdr:cNvPr id="4" name="Chart 3">
          <a:extLst>
            <a:ext uri="{FF2B5EF4-FFF2-40B4-BE49-F238E27FC236}">
              <a16:creationId xmlns:a16="http://schemas.microsoft.com/office/drawing/2014/main" id="{60E5E442-1FFD-144D-5E41-599BA2958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365760</xdr:colOff>
      <xdr:row>30</xdr:row>
      <xdr:rowOff>49530</xdr:rowOff>
    </xdr:from>
    <xdr:to>
      <xdr:col>13</xdr:col>
      <xdr:colOff>624840</xdr:colOff>
      <xdr:row>45</xdr:row>
      <xdr:rowOff>49530</xdr:rowOff>
    </xdr:to>
    <xdr:graphicFrame macro="">
      <xdr:nvGraphicFramePr>
        <xdr:cNvPr id="5" name="Chart 4">
          <a:extLst>
            <a:ext uri="{FF2B5EF4-FFF2-40B4-BE49-F238E27FC236}">
              <a16:creationId xmlns:a16="http://schemas.microsoft.com/office/drawing/2014/main" id="{B1F471A0-4A30-4E49-19B7-FE4188493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99060</xdr:colOff>
      <xdr:row>47</xdr:row>
      <xdr:rowOff>133350</xdr:rowOff>
    </xdr:from>
    <xdr:to>
      <xdr:col>13</xdr:col>
      <xdr:colOff>358140</xdr:colOff>
      <xdr:row>62</xdr:row>
      <xdr:rowOff>133350</xdr:rowOff>
    </xdr:to>
    <xdr:graphicFrame macro="">
      <xdr:nvGraphicFramePr>
        <xdr:cNvPr id="6" name="Chart 5">
          <a:extLst>
            <a:ext uri="{FF2B5EF4-FFF2-40B4-BE49-F238E27FC236}">
              <a16:creationId xmlns:a16="http://schemas.microsoft.com/office/drawing/2014/main" id="{98154828-E95D-44E7-A750-CA1187BDD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63</xdr:row>
      <xdr:rowOff>83820</xdr:rowOff>
    </xdr:from>
    <xdr:to>
      <xdr:col>16</xdr:col>
      <xdr:colOff>30480</xdr:colOff>
      <xdr:row>80</xdr:row>
      <xdr:rowOff>30480</xdr:rowOff>
    </xdr:to>
    <xdr:graphicFrame macro="">
      <xdr:nvGraphicFramePr>
        <xdr:cNvPr id="7" name="Chart 6">
          <a:extLst>
            <a:ext uri="{FF2B5EF4-FFF2-40B4-BE49-F238E27FC236}">
              <a16:creationId xmlns:a16="http://schemas.microsoft.com/office/drawing/2014/main" id="{14EF464F-36C7-1499-7441-6D6240512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678180</xdr:colOff>
      <xdr:row>83</xdr:row>
      <xdr:rowOff>121920</xdr:rowOff>
    </xdr:from>
    <xdr:to>
      <xdr:col>16</xdr:col>
      <xdr:colOff>160020</xdr:colOff>
      <xdr:row>98</xdr:row>
      <xdr:rowOff>121920</xdr:rowOff>
    </xdr:to>
    <xdr:graphicFrame macro="">
      <xdr:nvGraphicFramePr>
        <xdr:cNvPr id="8" name="Chart 7">
          <a:extLst>
            <a:ext uri="{FF2B5EF4-FFF2-40B4-BE49-F238E27FC236}">
              <a16:creationId xmlns:a16="http://schemas.microsoft.com/office/drawing/2014/main" id="{3CDE914B-38D9-FD58-FB47-62E41D457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209434</xdr:colOff>
      <xdr:row>0</xdr:row>
      <xdr:rowOff>41753</xdr:rowOff>
    </xdr:from>
    <xdr:to>
      <xdr:col>32</xdr:col>
      <xdr:colOff>36073</xdr:colOff>
      <xdr:row>1</xdr:row>
      <xdr:rowOff>7393</xdr:rowOff>
    </xdr:to>
    <xdr:sp macro="" textlink="">
      <xdr:nvSpPr>
        <xdr:cNvPr id="10" name="Rectangle: Rounded Corners 9">
          <a:extLst>
            <a:ext uri="{FF2B5EF4-FFF2-40B4-BE49-F238E27FC236}">
              <a16:creationId xmlns:a16="http://schemas.microsoft.com/office/drawing/2014/main" id="{DF071ED2-EED9-B5EA-926E-AE0D98439764}"/>
            </a:ext>
          </a:extLst>
        </xdr:cNvPr>
        <xdr:cNvSpPr/>
      </xdr:nvSpPr>
      <xdr:spPr>
        <a:xfrm>
          <a:off x="209434" y="41753"/>
          <a:ext cx="19200228"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800" b="1" i="0" u="none" strike="noStrike">
              <a:solidFill>
                <a:schemeClr val="lt1"/>
              </a:solidFill>
              <a:effectLst/>
              <a:latin typeface="+mn-lt"/>
              <a:ea typeface="+mn-ea"/>
              <a:cs typeface="+mn-cs"/>
            </a:rPr>
            <a:t>Project Performance and Risk </a:t>
          </a:r>
          <a:r>
            <a:rPr lang="en-IN" sz="3600" b="1" i="0" u="none" strike="noStrike">
              <a:solidFill>
                <a:schemeClr val="lt1"/>
              </a:solidFill>
              <a:effectLst/>
              <a:latin typeface="+mn-lt"/>
              <a:ea typeface="+mn-ea"/>
              <a:cs typeface="+mn-cs"/>
            </a:rPr>
            <a:t>Analysis</a:t>
          </a:r>
          <a:r>
            <a:rPr lang="en-IN" sz="2800" b="1" i="0" u="none" strike="noStrike">
              <a:solidFill>
                <a:schemeClr val="lt1"/>
              </a:solidFill>
              <a:effectLst/>
              <a:latin typeface="+mn-lt"/>
              <a:ea typeface="+mn-ea"/>
              <a:cs typeface="+mn-cs"/>
            </a:rPr>
            <a:t> Report</a:t>
          </a:r>
          <a:endParaRPr lang="en-IN" sz="6000" b="1">
            <a:effectLst/>
          </a:endParaRPr>
        </a:p>
        <a:p>
          <a:pPr algn="ctr"/>
          <a:endParaRPr lang="en-IN" sz="2800" b="1">
            <a:latin typeface="Aptos Display" panose="020B0004020202020204" pitchFamily="34" charset="0"/>
          </a:endParaRPr>
        </a:p>
      </xdr:txBody>
    </xdr:sp>
    <xdr:clientData/>
  </xdr:twoCellAnchor>
  <xdr:twoCellAnchor>
    <xdr:from>
      <xdr:col>0</xdr:col>
      <xdr:colOff>22860</xdr:colOff>
      <xdr:row>1</xdr:row>
      <xdr:rowOff>22860</xdr:rowOff>
    </xdr:from>
    <xdr:to>
      <xdr:col>3</xdr:col>
      <xdr:colOff>7620</xdr:colOff>
      <xdr:row>41</xdr:row>
      <xdr:rowOff>125260</xdr:rowOff>
    </xdr:to>
    <xdr:sp macro="" textlink="">
      <xdr:nvSpPr>
        <xdr:cNvPr id="9" name="Rectangle: Rounded Corners 8">
          <a:extLst>
            <a:ext uri="{FF2B5EF4-FFF2-40B4-BE49-F238E27FC236}">
              <a16:creationId xmlns:a16="http://schemas.microsoft.com/office/drawing/2014/main" id="{BF7E508A-F7DE-8614-8837-E5E5E42DD7C9}"/>
            </a:ext>
          </a:extLst>
        </xdr:cNvPr>
        <xdr:cNvSpPr/>
      </xdr:nvSpPr>
      <xdr:spPr>
        <a:xfrm>
          <a:off x="22860" y="596970"/>
          <a:ext cx="1801034" cy="92881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215900</xdr:colOff>
      <xdr:row>20</xdr:row>
      <xdr:rowOff>119380</xdr:rowOff>
    </xdr:from>
    <xdr:to>
      <xdr:col>22</xdr:col>
      <xdr:colOff>30480</xdr:colOff>
      <xdr:row>45</xdr:row>
      <xdr:rowOff>172720</xdr:rowOff>
    </xdr:to>
    <xdr:graphicFrame macro="">
      <xdr:nvGraphicFramePr>
        <xdr:cNvPr id="7" name="Chart 6">
          <a:extLst>
            <a:ext uri="{FF2B5EF4-FFF2-40B4-BE49-F238E27FC236}">
              <a16:creationId xmlns:a16="http://schemas.microsoft.com/office/drawing/2014/main" id="{02539ADD-DBFB-4B3C-B18D-4E60DBEC8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454660</xdr:colOff>
      <xdr:row>2</xdr:row>
      <xdr:rowOff>83820</xdr:rowOff>
    </xdr:from>
    <xdr:to>
      <xdr:col>25</xdr:col>
      <xdr:colOff>325120</xdr:colOff>
      <xdr:row>19</xdr:row>
      <xdr:rowOff>121920</xdr:rowOff>
    </xdr:to>
    <xdr:graphicFrame macro="">
      <xdr:nvGraphicFramePr>
        <xdr:cNvPr id="15" name="Chart 14">
          <a:extLst>
            <a:ext uri="{FF2B5EF4-FFF2-40B4-BE49-F238E27FC236}">
              <a16:creationId xmlns:a16="http://schemas.microsoft.com/office/drawing/2014/main" id="{D2029431-5F70-42BA-83F5-4BBA276D9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594659</xdr:colOff>
      <xdr:row>3</xdr:row>
      <xdr:rowOff>112657</xdr:rowOff>
    </xdr:from>
    <xdr:to>
      <xdr:col>11</xdr:col>
      <xdr:colOff>503219</xdr:colOff>
      <xdr:row>22</xdr:row>
      <xdr:rowOff>29883</xdr:rowOff>
    </xdr:to>
    <xdr:graphicFrame macro="">
      <xdr:nvGraphicFramePr>
        <xdr:cNvPr id="3" name="Chart 2">
          <a:extLst>
            <a:ext uri="{FF2B5EF4-FFF2-40B4-BE49-F238E27FC236}">
              <a16:creationId xmlns:a16="http://schemas.microsoft.com/office/drawing/2014/main" id="{2B184617-F5B5-4F7F-90DD-99B7A29A6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39370</xdr:colOff>
      <xdr:row>20</xdr:row>
      <xdr:rowOff>182245</xdr:rowOff>
    </xdr:from>
    <xdr:to>
      <xdr:col>31</xdr:col>
      <xdr:colOff>358588</xdr:colOff>
      <xdr:row>44</xdr:row>
      <xdr:rowOff>161925</xdr:rowOff>
    </xdr:to>
    <xdr:graphicFrame macro="">
      <xdr:nvGraphicFramePr>
        <xdr:cNvPr id="5" name="Chart 4">
          <a:extLst>
            <a:ext uri="{FF2B5EF4-FFF2-40B4-BE49-F238E27FC236}">
              <a16:creationId xmlns:a16="http://schemas.microsoft.com/office/drawing/2014/main" id="{EAFAB9C5-28D0-4C2A-9A16-82EC345F8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608854</xdr:colOff>
      <xdr:row>22</xdr:row>
      <xdr:rowOff>158078</xdr:rowOff>
    </xdr:from>
    <xdr:to>
      <xdr:col>11</xdr:col>
      <xdr:colOff>519953</xdr:colOff>
      <xdr:row>41</xdr:row>
      <xdr:rowOff>14343</xdr:rowOff>
    </xdr:to>
    <xdr:graphicFrame macro="">
      <xdr:nvGraphicFramePr>
        <xdr:cNvPr id="4" name="Chart 3">
          <a:extLst>
            <a:ext uri="{FF2B5EF4-FFF2-40B4-BE49-F238E27FC236}">
              <a16:creationId xmlns:a16="http://schemas.microsoft.com/office/drawing/2014/main" id="{5894037F-C684-462C-84D9-B29F928DD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99659</xdr:colOff>
      <xdr:row>1</xdr:row>
      <xdr:rowOff>160917</xdr:rowOff>
    </xdr:from>
    <xdr:to>
      <xdr:col>31</xdr:col>
      <xdr:colOff>374278</xdr:colOff>
      <xdr:row>20</xdr:row>
      <xdr:rowOff>1943</xdr:rowOff>
    </xdr:to>
    <xdr:graphicFrame macro="">
      <xdr:nvGraphicFramePr>
        <xdr:cNvPr id="14" name="Chart 13">
          <a:extLst>
            <a:ext uri="{FF2B5EF4-FFF2-40B4-BE49-F238E27FC236}">
              <a16:creationId xmlns:a16="http://schemas.microsoft.com/office/drawing/2014/main" id="{314D412E-C5B4-41EA-90A9-DC41606BF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113595</xdr:colOff>
      <xdr:row>8</xdr:row>
      <xdr:rowOff>171109</xdr:rowOff>
    </xdr:from>
    <xdr:to>
      <xdr:col>2</xdr:col>
      <xdr:colOff>499077</xdr:colOff>
      <xdr:row>19</xdr:row>
      <xdr:rowOff>77615</xdr:rowOff>
    </xdr:to>
    <mc:AlternateContent xmlns:mc="http://schemas.openxmlformats.org/markup-compatibility/2006">
      <mc:Choice xmlns:a14="http://schemas.microsoft.com/office/drawing/2010/main" Requires="a14">
        <xdr:graphicFrame macro="">
          <xdr:nvGraphicFramePr>
            <xdr:cNvPr id="17" name="Project Name">
              <a:extLst>
                <a:ext uri="{FF2B5EF4-FFF2-40B4-BE49-F238E27FC236}">
                  <a16:creationId xmlns:a16="http://schemas.microsoft.com/office/drawing/2014/main" id="{24D562CC-3F29-F3B1-F1C6-7800680F6853}"/>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dr:sp macro="" textlink="">
          <xdr:nvSpPr>
            <xdr:cNvPr id="0" name=""/>
            <xdr:cNvSpPr>
              <a:spLocks noTextEdit="1"/>
            </xdr:cNvSpPr>
          </xdr:nvSpPr>
          <xdr:spPr>
            <a:xfrm>
              <a:off x="113595" y="2352725"/>
              <a:ext cx="1596331" cy="2432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105588</xdr:colOff>
      <xdr:row>19</xdr:row>
      <xdr:rowOff>183144</xdr:rowOff>
    </xdr:from>
    <xdr:to>
      <xdr:col>2</xdr:col>
      <xdr:colOff>458797</xdr:colOff>
      <xdr:row>24</xdr:row>
      <xdr:rowOff>147733</xdr:rowOff>
    </xdr:to>
    <mc:AlternateContent xmlns:mc="http://schemas.openxmlformats.org/markup-compatibility/2006">
      <mc:Choice xmlns:a14="http://schemas.microsoft.com/office/drawing/2010/main" Requires="a14">
        <xdr:graphicFrame macro="">
          <xdr:nvGraphicFramePr>
            <xdr:cNvPr id="18" name="Start Month">
              <a:extLst>
                <a:ext uri="{FF2B5EF4-FFF2-40B4-BE49-F238E27FC236}">
                  <a16:creationId xmlns:a16="http://schemas.microsoft.com/office/drawing/2014/main" id="{E9E48499-9754-48D4-18C3-5C6E87DA2668}"/>
                </a:ext>
              </a:extLst>
            </xdr:cNvPr>
            <xdr:cNvGraphicFramePr/>
          </xdr:nvGraphicFramePr>
          <xdr:xfrm>
            <a:off x="0" y="0"/>
            <a:ext cx="0" cy="0"/>
          </xdr:xfrm>
          <a:graphic>
            <a:graphicData uri="http://schemas.microsoft.com/office/drawing/2010/slicer">
              <sle:slicer xmlns:sle="http://schemas.microsoft.com/office/drawing/2010/slicer" name="Start Month"/>
            </a:graphicData>
          </a:graphic>
        </xdr:graphicFrame>
      </mc:Choice>
      <mc:Fallback>
        <xdr:sp macro="" textlink="">
          <xdr:nvSpPr>
            <xdr:cNvPr id="0" name=""/>
            <xdr:cNvSpPr>
              <a:spLocks noTextEdit="1"/>
            </xdr:cNvSpPr>
          </xdr:nvSpPr>
          <xdr:spPr>
            <a:xfrm>
              <a:off x="105588" y="4890843"/>
              <a:ext cx="1564058" cy="1112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69728</xdr:colOff>
      <xdr:row>24</xdr:row>
      <xdr:rowOff>227078</xdr:rowOff>
    </xdr:from>
    <xdr:to>
      <xdr:col>2</xdr:col>
      <xdr:colOff>494655</xdr:colOff>
      <xdr:row>29</xdr:row>
      <xdr:rowOff>116664</xdr:rowOff>
    </xdr:to>
    <mc:AlternateContent xmlns:mc="http://schemas.openxmlformats.org/markup-compatibility/2006">
      <mc:Choice xmlns:a14="http://schemas.microsoft.com/office/drawing/2010/main" Requires="a14">
        <xdr:graphicFrame macro="">
          <xdr:nvGraphicFramePr>
            <xdr:cNvPr id="19" name="Near end">
              <a:extLst>
                <a:ext uri="{FF2B5EF4-FFF2-40B4-BE49-F238E27FC236}">
                  <a16:creationId xmlns:a16="http://schemas.microsoft.com/office/drawing/2014/main" id="{F20DDB58-8687-6DFB-0045-7C523262AC3A}"/>
                </a:ext>
              </a:extLst>
            </xdr:cNvPr>
            <xdr:cNvGraphicFramePr/>
          </xdr:nvGraphicFramePr>
          <xdr:xfrm>
            <a:off x="0" y="0"/>
            <a:ext cx="0" cy="0"/>
          </xdr:xfrm>
          <a:graphic>
            <a:graphicData uri="http://schemas.microsoft.com/office/drawing/2010/slicer">
              <sle:slicer xmlns:sle="http://schemas.microsoft.com/office/drawing/2010/slicer" name="Near end"/>
            </a:graphicData>
          </a:graphic>
        </xdr:graphicFrame>
      </mc:Choice>
      <mc:Fallback>
        <xdr:sp macro="" textlink="">
          <xdr:nvSpPr>
            <xdr:cNvPr id="0" name=""/>
            <xdr:cNvSpPr>
              <a:spLocks noTextEdit="1"/>
            </xdr:cNvSpPr>
          </xdr:nvSpPr>
          <xdr:spPr>
            <a:xfrm>
              <a:off x="69728" y="6082996"/>
              <a:ext cx="1635776" cy="1037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86061</xdr:colOff>
      <xdr:row>2</xdr:row>
      <xdr:rowOff>214705</xdr:rowOff>
    </xdr:from>
    <xdr:to>
      <xdr:col>2</xdr:col>
      <xdr:colOff>564776</xdr:colOff>
      <xdr:row>8</xdr:row>
      <xdr:rowOff>80683</xdr:rowOff>
    </xdr:to>
    <mc:AlternateContent xmlns:mc="http://schemas.openxmlformats.org/markup-compatibility/2006">
      <mc:Choice xmlns:a14="http://schemas.microsoft.com/office/drawing/2010/main" Requires="a14">
        <xdr:graphicFrame macro="">
          <xdr:nvGraphicFramePr>
            <xdr:cNvPr id="2" name="Status 1">
              <a:extLst>
                <a:ext uri="{FF2B5EF4-FFF2-40B4-BE49-F238E27FC236}">
                  <a16:creationId xmlns:a16="http://schemas.microsoft.com/office/drawing/2014/main" id="{CB3E7421-6A16-13D3-8497-D9A95313ADA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86061" y="1018458"/>
              <a:ext cx="1689564" cy="1243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na jagabandhu d" refreshedDate="46089.520007638886" createdVersion="8" refreshedVersion="8" minRefreshableVersion="3" recordCount="46" xr:uid="{AFCA39FA-695B-47F4-9742-D4E45474D77D}">
  <cacheSource type="worksheet">
    <worksheetSource ref="A1:J47" sheet="Clean and Transformed Data"/>
  </cacheSource>
  <cacheFields count="10">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ount="46">
        <s v="Market Research"/>
        <s v="Content Creation"/>
        <s v="Social Media Planning"/>
        <s v="Campaign Analysis"/>
        <s v="Prototype Development"/>
        <s v="Quality Assurance"/>
        <s v="User Interface Design"/>
        <s v="Service Improvement"/>
        <s v="Ticket Resolution"/>
        <s v="Customer Feedback"/>
        <s v="Budget Analysis"/>
        <s v="Financial Reporting"/>
        <s v="Investment Planning"/>
        <s v="Market Trends Analysis"/>
        <s v="Data Collection"/>
        <s v="Research Paper Writing"/>
        <s v="Software Development"/>
        <s v="Feature Enhancement"/>
        <s v="Code Review"/>
        <s v="Manufacturing"/>
        <s v="Quality Control"/>
        <s v="Packaging Design"/>
        <s v="Lead Generation"/>
        <s v="Client Meetings"/>
        <s v="Contract Negotiation"/>
        <s v="Technical Support"/>
        <s v="Bug Fixes"/>
        <s v="Software Updates"/>
        <s v="Process Optimization"/>
        <s v="Inventory Management"/>
        <s v="Facility Maintenance"/>
        <s v="Strategic Planning"/>
        <s v="Market Expansion"/>
        <s v="Client Advisory"/>
        <s v="Employee Training"/>
        <s v="Certification Programs"/>
        <s v="Skill Development"/>
        <s v="Event Planning"/>
        <s v="Conference Management"/>
        <s v="Sponsorship Coordinatio"/>
        <s v="Supply Chain Management"/>
        <s v="Transportation Planning"/>
        <s v="Inventory Optimization"/>
        <s v="Product Design"/>
        <s v="System Integration"/>
        <s v="Prototype Testing"/>
      </sharedItems>
    </cacheField>
    <cacheField name="Assigned to" numFmtId="0">
      <sharedItems/>
    </cacheField>
    <cacheField name="Days Required" numFmtId="0">
      <sharedItems containsSemiMixedTypes="0" containsString="0" containsNumber="1" containsInteger="1" minValue="10" maxValue="60" count="18">
        <n v="13"/>
        <n v="14"/>
        <n v="22"/>
        <n v="25"/>
        <n v="18"/>
        <n v="10"/>
        <n v="30"/>
        <n v="21"/>
        <n v="23"/>
        <n v="32"/>
        <n v="27"/>
        <n v="36"/>
        <n v="34"/>
        <n v="47"/>
        <n v="60"/>
        <n v="20"/>
        <n v="35"/>
        <n v="31"/>
      </sharedItems>
    </cacheField>
    <cacheField name="Start Date" numFmtId="14">
      <sharedItems containsDate="1" containsMixedTypes="1" minDate="2026-01-01T00:00:00" maxDate="2026-03-30T00:00:00"/>
    </cacheField>
    <cacheField name="Start Month" numFmtId="14">
      <sharedItems count="3">
        <s v="Jan"/>
        <s v="Feb"/>
        <s v="Mar"/>
      </sharedItems>
    </cacheField>
    <cacheField name="End Date" numFmtId="14">
      <sharedItems containsDate="1" containsMixedTypes="1" minDate="2026-01-14T00:00:00" maxDate="2026-04-21T00:00:00" count="33">
        <d v="2026-01-14T00:00:00"/>
        <d v="2026-01-28T00:00:00"/>
        <d v="2026-02-19T00:00:00"/>
        <d v="2026-03-14T00:00:00"/>
        <d v="2026-01-20T00:00:00"/>
        <d v="2026-01-30T00:00:00"/>
        <s v="28-02-2026"/>
        <d v="2026-02-23T00:00:00"/>
        <d v="2026-03-20T00:00:00"/>
        <d v="2026-04-20T00:00:00"/>
        <d v="2026-02-24T00:00:00"/>
        <d v="2026-03-05T00:00:00"/>
        <d v="2026-04-13T00:00:00"/>
        <d v="2026-01-25T00:00:00"/>
        <d v="2026-02-27T00:00:00"/>
        <d v="2026-03-26T00:00:00"/>
        <d v="2026-02-07T00:00:00"/>
        <d v="2026-03-13T00:00:00"/>
        <d v="2026-03-15T00:00:00"/>
        <d v="2026-04-05T00:00:00"/>
        <d v="2026-03-03T00:00:00"/>
        <d v="2026-01-26T00:00:00"/>
        <d v="2026-03-09T00:00:00"/>
        <d v="2026-03-24T00:00:00"/>
        <d v="2026-02-02T00:00:00"/>
        <d v="2026-02-28T00:00:00"/>
        <d v="2026-02-06T00:00:00"/>
        <d v="2026-03-31T00:00:00"/>
        <d v="2026-01-31T00:00:00"/>
        <d v="2026-03-21T00:00:00"/>
        <d v="2026-03-30T00:00:00"/>
        <d v="2026-04-18T00:00:00"/>
        <d v="2026-01-27T00:00:00"/>
      </sharedItems>
    </cacheField>
    <cacheField name="Progress" numFmtId="9">
      <sharedItems containsSemiMixedTypes="0" containsString="0" containsNumber="1" minValue="0" maxValue="1" count="12">
        <n v="0.78"/>
        <n v="1"/>
        <n v="0.45"/>
        <n v="0"/>
        <n v="0.1"/>
        <n v="0.5"/>
        <n v="0.3"/>
        <n v="0.7"/>
        <n v="0.4"/>
        <n v="0.6"/>
        <n v="0.8"/>
        <n v="0.2"/>
      </sharedItems>
    </cacheField>
    <cacheField name="Status" numFmtId="0">
      <sharedItems count="3">
        <s v="Pending"/>
        <s v="Completed"/>
        <s v="Not Started"/>
      </sharedItems>
    </cacheField>
    <cacheField name="Near end" numFmtId="0">
      <sharedItems count="2">
        <s v="Okay"/>
        <s v="Close to end"/>
      </sharedItems>
    </cacheField>
  </cacheFields>
  <extLst>
    <ext xmlns:x14="http://schemas.microsoft.com/office/spreadsheetml/2009/9/main" uri="{725AE2AE-9491-48be-B2B4-4EB974FC3084}">
      <x14:pivotCacheDefinition pivotCacheId="15753909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na jagabandhu d" refreshedDate="46089.520008217594" createdVersion="8" refreshedVersion="8" minRefreshableVersion="3" recordCount="46" xr:uid="{6B9C597F-5CCB-4E03-B31C-30AF180579AB}">
  <cacheSource type="worksheet">
    <worksheetSource ref="A1:I47" sheet="Clean and Transformed Data"/>
  </cacheSource>
  <cacheFields count="9">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acheField>
    <cacheField name="Assigned to" numFmtId="0">
      <sharedItems/>
    </cacheField>
    <cacheField name="Days Required" numFmtId="0">
      <sharedItems containsSemiMixedTypes="0" containsString="0" containsNumber="1" containsInteger="1" minValue="10" maxValue="60"/>
    </cacheField>
    <cacheField name="Start Date" numFmtId="14">
      <sharedItems containsDate="1" containsMixedTypes="1" minDate="2026-01-01T00:00:00" maxDate="2026-03-30T00:00:00"/>
    </cacheField>
    <cacheField name="Start Month" numFmtId="14">
      <sharedItems/>
    </cacheField>
    <cacheField name="End Date" numFmtId="14">
      <sharedItems containsDate="1" containsMixedTypes="1" minDate="2026-01-14T00:00:00" maxDate="2026-04-21T00:00:00"/>
    </cacheField>
    <cacheField name="Progress" numFmtId="9">
      <sharedItems containsSemiMixedTypes="0" containsString="0" containsNumber="1" minValue="0" maxValue="1"/>
    </cacheField>
    <cacheField name="Status" numFmtId="0">
      <sharedItems count="3">
        <s v="Pending"/>
        <s v="Completed"/>
        <s v="Not Started"/>
      </sharedItems>
    </cacheField>
  </cacheFields>
  <extLst>
    <ext xmlns:x14="http://schemas.microsoft.com/office/spreadsheetml/2009/9/main" uri="{725AE2AE-9491-48be-B2B4-4EB974FC3084}">
      <x14:pivotCacheDefinition pivotCacheId="1299660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s v="Alice"/>
    <x v="0"/>
    <d v="2026-01-01T00:00:00"/>
    <x v="0"/>
    <x v="0"/>
    <x v="0"/>
    <x v="0"/>
    <x v="0"/>
  </r>
  <r>
    <x v="0"/>
    <x v="1"/>
    <s v="Bob"/>
    <x v="1"/>
    <d v="2026-01-14T00:00:00"/>
    <x v="0"/>
    <x v="1"/>
    <x v="1"/>
    <x v="1"/>
    <x v="0"/>
  </r>
  <r>
    <x v="0"/>
    <x v="2"/>
    <s v="Charlie"/>
    <x v="2"/>
    <d v="2026-01-28T00:00:00"/>
    <x v="0"/>
    <x v="2"/>
    <x v="2"/>
    <x v="0"/>
    <x v="0"/>
  </r>
  <r>
    <x v="0"/>
    <x v="3"/>
    <s v="Daisy"/>
    <x v="3"/>
    <d v="2026-02-18T00:00:00"/>
    <x v="1"/>
    <x v="3"/>
    <x v="3"/>
    <x v="2"/>
    <x v="1"/>
  </r>
  <r>
    <x v="1"/>
    <x v="4"/>
    <s v="Ethan"/>
    <x v="4"/>
    <d v="2026-01-02T00:00:00"/>
    <x v="0"/>
    <x v="4"/>
    <x v="1"/>
    <x v="1"/>
    <x v="0"/>
  </r>
  <r>
    <x v="1"/>
    <x v="5"/>
    <s v="Fiona"/>
    <x v="5"/>
    <d v="2026-01-20T00:00:00"/>
    <x v="0"/>
    <x v="5"/>
    <x v="0"/>
    <x v="0"/>
    <x v="0"/>
  </r>
  <r>
    <x v="1"/>
    <x v="6"/>
    <s v="Gabriel"/>
    <x v="3"/>
    <d v="2026-02-04T00:00:00"/>
    <x v="1"/>
    <x v="6"/>
    <x v="3"/>
    <x v="2"/>
    <x v="0"/>
  </r>
  <r>
    <x v="2"/>
    <x v="7"/>
    <s v="Hannah"/>
    <x v="2"/>
    <d v="2026-02-01T00:00:00"/>
    <x v="1"/>
    <x v="7"/>
    <x v="1"/>
    <x v="1"/>
    <x v="0"/>
  </r>
  <r>
    <x v="2"/>
    <x v="8"/>
    <s v="Ian"/>
    <x v="3"/>
    <d v="2026-02-24T00:00:00"/>
    <x v="1"/>
    <x v="8"/>
    <x v="1"/>
    <x v="1"/>
    <x v="0"/>
  </r>
  <r>
    <x v="2"/>
    <x v="9"/>
    <s v="Julia"/>
    <x v="6"/>
    <d v="2026-03-21T00:00:00"/>
    <x v="2"/>
    <x v="9"/>
    <x v="3"/>
    <x v="2"/>
    <x v="1"/>
  </r>
  <r>
    <x v="3"/>
    <x v="10"/>
    <s v="n"/>
    <x v="2"/>
    <d v="2026-02-02T00:00:00"/>
    <x v="1"/>
    <x v="10"/>
    <x v="4"/>
    <x v="0"/>
    <x v="0"/>
  </r>
  <r>
    <x v="3"/>
    <x v="11"/>
    <s v="Mark"/>
    <x v="7"/>
    <d v="2026-02-13T00:00:00"/>
    <x v="1"/>
    <x v="11"/>
    <x v="0"/>
    <x v="0"/>
    <x v="0"/>
  </r>
  <r>
    <x v="3"/>
    <x v="12"/>
    <s v="Mark"/>
    <x v="3"/>
    <d v="2026-03-19T00:00:00"/>
    <x v="2"/>
    <x v="12"/>
    <x v="1"/>
    <x v="1"/>
    <x v="0"/>
  </r>
  <r>
    <x v="4"/>
    <x v="13"/>
    <s v="Nathan"/>
    <x v="8"/>
    <d v="2026-01-02T00:00:00"/>
    <x v="0"/>
    <x v="13"/>
    <x v="5"/>
    <x v="0"/>
    <x v="0"/>
  </r>
  <r>
    <x v="4"/>
    <x v="14"/>
    <s v="Olivia"/>
    <x v="9"/>
    <d v="2026-01-26T00:00:00"/>
    <x v="0"/>
    <x v="14"/>
    <x v="3"/>
    <x v="2"/>
    <x v="0"/>
  </r>
  <r>
    <x v="4"/>
    <x v="15"/>
    <s v="Peter"/>
    <x v="10"/>
    <d v="2026-02-28T00:00:00"/>
    <x v="1"/>
    <x v="15"/>
    <x v="3"/>
    <x v="2"/>
    <x v="1"/>
  </r>
  <r>
    <x v="5"/>
    <x v="16"/>
    <s v="Quinn"/>
    <x v="11"/>
    <d v="2026-01-02T00:00:00"/>
    <x v="0"/>
    <x v="16"/>
    <x v="1"/>
    <x v="1"/>
    <x v="0"/>
  </r>
  <r>
    <x v="5"/>
    <x v="17"/>
    <s v="Rachel"/>
    <x v="12"/>
    <d v="2026-02-08T00:00:00"/>
    <x v="1"/>
    <x v="17"/>
    <x v="3"/>
    <x v="2"/>
    <x v="1"/>
  </r>
  <r>
    <x v="5"/>
    <x v="18"/>
    <s v="Sam"/>
    <x v="6"/>
    <d v="2026-03-14T00:00:00"/>
    <x v="2"/>
    <x v="12"/>
    <x v="3"/>
    <x v="2"/>
    <x v="1"/>
  </r>
  <r>
    <x v="6"/>
    <x v="19"/>
    <s v="Tim"/>
    <x v="13"/>
    <d v="2026-01-03T00:00:00"/>
    <x v="0"/>
    <x v="2"/>
    <x v="6"/>
    <x v="0"/>
    <x v="0"/>
  </r>
  <r>
    <x v="6"/>
    <x v="20"/>
    <s v="Ursula"/>
    <x v="10"/>
    <d v="2026-02-17T00:00:00"/>
    <x v="1"/>
    <x v="18"/>
    <x v="3"/>
    <x v="2"/>
    <x v="1"/>
  </r>
  <r>
    <x v="6"/>
    <x v="21"/>
    <s v="Victor"/>
    <x v="2"/>
    <d v="2026-03-14T00:00:00"/>
    <x v="2"/>
    <x v="19"/>
    <x v="3"/>
    <x v="2"/>
    <x v="1"/>
  </r>
  <r>
    <x v="7"/>
    <x v="22"/>
    <s v="Wendy"/>
    <x v="14"/>
    <d v="2026-01-03T00:00:00"/>
    <x v="0"/>
    <x v="20"/>
    <x v="7"/>
    <x v="0"/>
    <x v="0"/>
  </r>
  <r>
    <x v="7"/>
    <x v="23"/>
    <s v="Xavier"/>
    <x v="15"/>
    <d v="2026-01-06T00:00:00"/>
    <x v="0"/>
    <x v="21"/>
    <x v="0"/>
    <x v="0"/>
    <x v="0"/>
  </r>
  <r>
    <x v="7"/>
    <x v="24"/>
    <s v="Yvette"/>
    <x v="16"/>
    <d v="2026-02-03T00:00:00"/>
    <x v="1"/>
    <x v="22"/>
    <x v="3"/>
    <x v="2"/>
    <x v="1"/>
  </r>
  <r>
    <x v="8"/>
    <x v="25"/>
    <s v="Zoe"/>
    <x v="3"/>
    <d v="2026-01-01T00:00:00"/>
    <x v="0"/>
    <x v="21"/>
    <x v="1"/>
    <x v="1"/>
    <x v="0"/>
  </r>
  <r>
    <x v="8"/>
    <x v="26"/>
    <s v="Aaron"/>
    <x v="17"/>
    <d v="2026-01-27T00:00:00"/>
    <x v="0"/>
    <x v="14"/>
    <x v="1"/>
    <x v="1"/>
    <x v="0"/>
  </r>
  <r>
    <x v="8"/>
    <x v="27"/>
    <s v="Bella"/>
    <x v="2"/>
    <d v="2026-03-02T00:00:00"/>
    <x v="2"/>
    <x v="23"/>
    <x v="3"/>
    <x v="2"/>
    <x v="1"/>
  </r>
  <r>
    <x v="9"/>
    <x v="28"/>
    <s v="Calvin"/>
    <x v="6"/>
    <d v="2026-01-03T00:00:00"/>
    <x v="0"/>
    <x v="24"/>
    <x v="8"/>
    <x v="0"/>
    <x v="0"/>
  </r>
  <r>
    <x v="9"/>
    <x v="29"/>
    <s v="Diane"/>
    <x v="3"/>
    <d v="2026-02-03T00:00:00"/>
    <x v="1"/>
    <x v="25"/>
    <x v="3"/>
    <x v="2"/>
    <x v="0"/>
  </r>
  <r>
    <x v="9"/>
    <x v="30"/>
    <s v="Edward"/>
    <x v="15"/>
    <s v="29-02-2026"/>
    <x v="1"/>
    <x v="8"/>
    <x v="3"/>
    <x v="2"/>
    <x v="1"/>
  </r>
  <r>
    <x v="10"/>
    <x v="31"/>
    <s v="Fiona"/>
    <x v="16"/>
    <d v="2026-01-02T00:00:00"/>
    <x v="0"/>
    <x v="26"/>
    <x v="9"/>
    <x v="0"/>
    <x v="0"/>
  </r>
  <r>
    <x v="10"/>
    <x v="32"/>
    <s v="Gary"/>
    <x v="9"/>
    <d v="2026-02-02T00:00:00"/>
    <x v="1"/>
    <x v="11"/>
    <x v="3"/>
    <x v="2"/>
    <x v="1"/>
  </r>
  <r>
    <x v="10"/>
    <x v="33"/>
    <s v="Helen"/>
    <x v="3"/>
    <d v="2026-03-06T00:00:00"/>
    <x v="2"/>
    <x v="27"/>
    <x v="3"/>
    <x v="2"/>
    <x v="1"/>
  </r>
  <r>
    <x v="11"/>
    <x v="34"/>
    <s v="Isaac"/>
    <x v="10"/>
    <d v="2026-01-04T00:00:00"/>
    <x v="0"/>
    <x v="28"/>
    <x v="10"/>
    <x v="0"/>
    <x v="0"/>
  </r>
  <r>
    <x v="11"/>
    <x v="35"/>
    <s v="Jane"/>
    <x v="6"/>
    <d v="2026-01-28T00:00:00"/>
    <x v="0"/>
    <x v="14"/>
    <x v="3"/>
    <x v="2"/>
    <x v="0"/>
  </r>
  <r>
    <x v="11"/>
    <x v="36"/>
    <s v="Kyle"/>
    <x v="2"/>
    <d v="2026-02-28T00:00:00"/>
    <x v="1"/>
    <x v="29"/>
    <x v="3"/>
    <x v="2"/>
    <x v="1"/>
  </r>
  <r>
    <x v="12"/>
    <x v="37"/>
    <s v="Laura"/>
    <x v="3"/>
    <d v="2026-01-03T00:00:00"/>
    <x v="0"/>
    <x v="1"/>
    <x v="6"/>
    <x v="0"/>
    <x v="0"/>
  </r>
  <r>
    <x v="12"/>
    <x v="38"/>
    <s v="Mike"/>
    <x v="15"/>
    <d v="2026-02-03T00:00:00"/>
    <x v="1"/>
    <x v="7"/>
    <x v="3"/>
    <x v="2"/>
    <x v="0"/>
  </r>
  <r>
    <x v="12"/>
    <x v="39"/>
    <s v="Nancy"/>
    <x v="16"/>
    <d v="2026-02-24T00:00:00"/>
    <x v="1"/>
    <x v="30"/>
    <x v="3"/>
    <x v="2"/>
    <x v="1"/>
  </r>
  <r>
    <x v="13"/>
    <x v="40"/>
    <s v="Oscar"/>
    <x v="3"/>
    <d v="2026-01-03T00:00:00"/>
    <x v="0"/>
    <x v="1"/>
    <x v="5"/>
    <x v="0"/>
    <x v="0"/>
  </r>
  <r>
    <x v="13"/>
    <x v="41"/>
    <s v="Patricia"/>
    <x v="6"/>
    <d v="2026-01-29T00:00:00"/>
    <x v="0"/>
    <x v="25"/>
    <x v="1"/>
    <x v="1"/>
    <x v="0"/>
  </r>
  <r>
    <x v="13"/>
    <x v="42"/>
    <s v="Quentin"/>
    <x v="15"/>
    <d v="2026-03-29T00:00:00"/>
    <x v="2"/>
    <x v="31"/>
    <x v="3"/>
    <x v="2"/>
    <x v="1"/>
  </r>
  <r>
    <x v="14"/>
    <x v="43"/>
    <s v="Rachel"/>
    <x v="3"/>
    <d v="2026-01-02T00:00:00"/>
    <x v="0"/>
    <x v="32"/>
    <x v="11"/>
    <x v="0"/>
    <x v="0"/>
  </r>
  <r>
    <x v="14"/>
    <x v="44"/>
    <s v="Sam"/>
    <x v="2"/>
    <d v="2026-02-02T00:00:00"/>
    <x v="1"/>
    <x v="10"/>
    <x v="3"/>
    <x v="2"/>
    <x v="0"/>
  </r>
  <r>
    <x v="14"/>
    <x v="45"/>
    <s v="Tom"/>
    <x v="10"/>
    <d v="2026-02-23T00:00:00"/>
    <x v="1"/>
    <x v="29"/>
    <x v="3"/>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s v="Market Research"/>
    <s v="Alice"/>
    <n v="13"/>
    <d v="2026-01-01T00:00:00"/>
    <s v="Jan"/>
    <d v="2026-01-14T00:00:00"/>
    <n v="0.78"/>
    <x v="0"/>
  </r>
  <r>
    <x v="0"/>
    <s v="Content Creation"/>
    <s v="Bob"/>
    <n v="14"/>
    <d v="2026-01-14T00:00:00"/>
    <s v="Jan"/>
    <d v="2026-01-28T00:00:00"/>
    <n v="1"/>
    <x v="1"/>
  </r>
  <r>
    <x v="0"/>
    <s v="Social Media Planning"/>
    <s v="Charlie"/>
    <n v="22"/>
    <d v="2026-01-28T00:00:00"/>
    <s v="Jan"/>
    <d v="2026-02-19T00:00:00"/>
    <n v="0.45"/>
    <x v="0"/>
  </r>
  <r>
    <x v="0"/>
    <s v="Campaign Analysis"/>
    <s v="Daisy"/>
    <n v="25"/>
    <d v="2026-02-18T00:00:00"/>
    <s v="Feb"/>
    <d v="2026-03-14T00:00:00"/>
    <n v="0"/>
    <x v="2"/>
  </r>
  <r>
    <x v="1"/>
    <s v="Prototype Development"/>
    <s v="Ethan"/>
    <n v="18"/>
    <d v="2026-01-02T00:00:00"/>
    <s v="Jan"/>
    <d v="2026-01-20T00:00:00"/>
    <n v="1"/>
    <x v="1"/>
  </r>
  <r>
    <x v="1"/>
    <s v="Quality Assurance"/>
    <s v="Fiona"/>
    <n v="10"/>
    <d v="2026-01-20T00:00:00"/>
    <s v="Jan"/>
    <d v="2026-01-30T00:00:00"/>
    <n v="0.78"/>
    <x v="0"/>
  </r>
  <r>
    <x v="1"/>
    <s v="User Interface Design"/>
    <s v="Gabriel"/>
    <n v="25"/>
    <d v="2026-02-04T00:00:00"/>
    <s v="Feb"/>
    <s v="28-02-2026"/>
    <n v="0"/>
    <x v="2"/>
  </r>
  <r>
    <x v="2"/>
    <s v="Service Improvement"/>
    <s v="Hannah"/>
    <n v="22"/>
    <d v="2026-02-01T00:00:00"/>
    <s v="Feb"/>
    <d v="2026-02-23T00:00:00"/>
    <n v="1"/>
    <x v="1"/>
  </r>
  <r>
    <x v="2"/>
    <s v="Ticket Resolution"/>
    <s v="Ian"/>
    <n v="25"/>
    <d v="2026-02-24T00:00:00"/>
    <s v="Feb"/>
    <d v="2026-03-20T00:00:00"/>
    <n v="1"/>
    <x v="1"/>
  </r>
  <r>
    <x v="2"/>
    <s v="Customer Feedback"/>
    <s v="Julia"/>
    <n v="30"/>
    <d v="2026-03-21T00:00:00"/>
    <s v="Mar"/>
    <d v="2026-04-20T00:00:00"/>
    <n v="0"/>
    <x v="2"/>
  </r>
  <r>
    <x v="3"/>
    <s v="Budget Analysis"/>
    <s v="n"/>
    <n v="22"/>
    <d v="2026-02-02T00:00:00"/>
    <s v="Feb"/>
    <d v="2026-02-24T00:00:00"/>
    <n v="0.1"/>
    <x v="0"/>
  </r>
  <r>
    <x v="3"/>
    <s v="Financial Reporting"/>
    <s v="Mark"/>
    <n v="21"/>
    <d v="2026-02-13T00:00:00"/>
    <s v="Feb"/>
    <d v="2026-03-05T00:00:00"/>
    <n v="0.78"/>
    <x v="0"/>
  </r>
  <r>
    <x v="3"/>
    <s v="Investment Planning"/>
    <s v="Mark"/>
    <n v="25"/>
    <d v="2026-03-19T00:00:00"/>
    <s v="Mar"/>
    <d v="2026-04-13T00:00:00"/>
    <n v="1"/>
    <x v="1"/>
  </r>
  <r>
    <x v="4"/>
    <s v="Market Trends Analysis"/>
    <s v="Nathan"/>
    <n v="23"/>
    <d v="2026-01-02T00:00:00"/>
    <s v="Jan"/>
    <d v="2026-01-25T00:00:00"/>
    <n v="0.5"/>
    <x v="0"/>
  </r>
  <r>
    <x v="4"/>
    <s v="Data Collection"/>
    <s v="Olivia"/>
    <n v="32"/>
    <d v="2026-01-26T00:00:00"/>
    <s v="Jan"/>
    <d v="2026-02-27T00:00:00"/>
    <n v="0"/>
    <x v="2"/>
  </r>
  <r>
    <x v="4"/>
    <s v="Research Paper Writing"/>
    <s v="Peter"/>
    <n v="27"/>
    <d v="2026-02-28T00:00:00"/>
    <s v="Feb"/>
    <d v="2026-03-26T00:00:00"/>
    <n v="0"/>
    <x v="2"/>
  </r>
  <r>
    <x v="5"/>
    <s v="Software Development"/>
    <s v="Quinn"/>
    <n v="36"/>
    <d v="2026-01-02T00:00:00"/>
    <s v="Jan"/>
    <d v="2026-02-07T00:00:00"/>
    <n v="1"/>
    <x v="1"/>
  </r>
  <r>
    <x v="5"/>
    <s v="Feature Enhancement"/>
    <s v="Rachel"/>
    <n v="34"/>
    <d v="2026-02-08T00:00:00"/>
    <s v="Feb"/>
    <d v="2026-03-13T00:00:00"/>
    <n v="0"/>
    <x v="2"/>
  </r>
  <r>
    <x v="5"/>
    <s v="Code Review"/>
    <s v="Sam"/>
    <n v="30"/>
    <d v="2026-03-14T00:00:00"/>
    <s v="Mar"/>
    <d v="2026-04-13T00:00:00"/>
    <n v="0"/>
    <x v="2"/>
  </r>
  <r>
    <x v="6"/>
    <s v="Manufacturing"/>
    <s v="Tim"/>
    <n v="47"/>
    <d v="2026-01-03T00:00:00"/>
    <s v="Jan"/>
    <d v="2026-02-19T00:00:00"/>
    <n v="0.3"/>
    <x v="0"/>
  </r>
  <r>
    <x v="6"/>
    <s v="Quality Control"/>
    <s v="Ursula"/>
    <n v="27"/>
    <d v="2026-02-17T00:00:00"/>
    <s v="Feb"/>
    <d v="2026-03-15T00:00:00"/>
    <n v="0"/>
    <x v="2"/>
  </r>
  <r>
    <x v="6"/>
    <s v="Packaging Design"/>
    <s v="Victor"/>
    <n v="22"/>
    <d v="2026-03-14T00:00:00"/>
    <s v="Mar"/>
    <d v="2026-04-05T00:00:00"/>
    <n v="0"/>
    <x v="2"/>
  </r>
  <r>
    <x v="7"/>
    <s v="Lead Generation"/>
    <s v="Wendy"/>
    <n v="60"/>
    <d v="2026-01-03T00:00:00"/>
    <s v="Jan"/>
    <d v="2026-03-03T00:00:00"/>
    <n v="0.7"/>
    <x v="0"/>
  </r>
  <r>
    <x v="7"/>
    <s v="Client Meetings"/>
    <s v="Xavier"/>
    <n v="20"/>
    <d v="2026-01-06T00:00:00"/>
    <s v="Jan"/>
    <d v="2026-01-26T00:00:00"/>
    <n v="0.78"/>
    <x v="0"/>
  </r>
  <r>
    <x v="7"/>
    <s v="Contract Negotiation"/>
    <s v="Yvette"/>
    <n v="35"/>
    <d v="2026-02-03T00:00:00"/>
    <s v="Feb"/>
    <d v="2026-03-09T00:00:00"/>
    <n v="0"/>
    <x v="2"/>
  </r>
  <r>
    <x v="8"/>
    <s v="Technical Support"/>
    <s v="Zoe"/>
    <n v="25"/>
    <d v="2026-01-01T00:00:00"/>
    <s v="Jan"/>
    <d v="2026-01-26T00:00:00"/>
    <n v="1"/>
    <x v="1"/>
  </r>
  <r>
    <x v="8"/>
    <s v="Bug Fixes"/>
    <s v="Aaron"/>
    <n v="31"/>
    <d v="2026-01-27T00:00:00"/>
    <s v="Jan"/>
    <d v="2026-02-27T00:00:00"/>
    <n v="1"/>
    <x v="1"/>
  </r>
  <r>
    <x v="8"/>
    <s v="Software Updates"/>
    <s v="Bella"/>
    <n v="22"/>
    <d v="2026-03-02T00:00:00"/>
    <s v="Mar"/>
    <d v="2026-03-24T00:00:00"/>
    <n v="0"/>
    <x v="2"/>
  </r>
  <r>
    <x v="9"/>
    <s v="Process Optimization"/>
    <s v="Calvin"/>
    <n v="30"/>
    <d v="2026-01-03T00:00:00"/>
    <s v="Jan"/>
    <d v="2026-02-02T00:00:00"/>
    <n v="0.4"/>
    <x v="0"/>
  </r>
  <r>
    <x v="9"/>
    <s v="Inventory Management"/>
    <s v="Diane"/>
    <n v="25"/>
    <d v="2026-02-03T00:00:00"/>
    <s v="Feb"/>
    <d v="2026-02-28T00:00:00"/>
    <n v="0"/>
    <x v="2"/>
  </r>
  <r>
    <x v="9"/>
    <s v="Facility Maintenance"/>
    <s v="Edward"/>
    <n v="20"/>
    <s v="29-02-2026"/>
    <s v="Feb"/>
    <d v="2026-03-20T00:00:00"/>
    <n v="0"/>
    <x v="2"/>
  </r>
  <r>
    <x v="10"/>
    <s v="Strategic Planning"/>
    <s v="Fiona"/>
    <n v="35"/>
    <d v="2026-01-02T00:00:00"/>
    <s v="Jan"/>
    <d v="2026-02-06T00:00:00"/>
    <n v="0.6"/>
    <x v="0"/>
  </r>
  <r>
    <x v="10"/>
    <s v="Market Expansion"/>
    <s v="Gary"/>
    <n v="32"/>
    <d v="2026-02-02T00:00:00"/>
    <s v="Feb"/>
    <d v="2026-03-05T00:00:00"/>
    <n v="0"/>
    <x v="2"/>
  </r>
  <r>
    <x v="10"/>
    <s v="Client Advisory"/>
    <s v="Helen"/>
    <n v="25"/>
    <d v="2026-03-06T00:00:00"/>
    <s v="Mar"/>
    <d v="2026-03-31T00:00:00"/>
    <n v="0"/>
    <x v="2"/>
  </r>
  <r>
    <x v="11"/>
    <s v="Employee Training"/>
    <s v="Isaac"/>
    <n v="27"/>
    <d v="2026-01-04T00:00:00"/>
    <s v="Jan"/>
    <d v="2026-01-31T00:00:00"/>
    <n v="0.8"/>
    <x v="0"/>
  </r>
  <r>
    <x v="11"/>
    <s v="Certification Programs"/>
    <s v="Jane"/>
    <n v="30"/>
    <d v="2026-01-28T00:00:00"/>
    <s v="Jan"/>
    <d v="2026-02-27T00:00:00"/>
    <n v="0"/>
    <x v="2"/>
  </r>
  <r>
    <x v="11"/>
    <s v="Skill Development"/>
    <s v="Kyle"/>
    <n v="22"/>
    <d v="2026-02-28T00:00:00"/>
    <s v="Feb"/>
    <d v="2026-03-21T00:00:00"/>
    <n v="0"/>
    <x v="2"/>
  </r>
  <r>
    <x v="12"/>
    <s v="Event Planning"/>
    <s v="Laura"/>
    <n v="25"/>
    <d v="2026-01-03T00:00:00"/>
    <s v="Jan"/>
    <d v="2026-01-28T00:00:00"/>
    <n v="0.3"/>
    <x v="0"/>
  </r>
  <r>
    <x v="12"/>
    <s v="Conference Management"/>
    <s v="Mike"/>
    <n v="20"/>
    <d v="2026-02-03T00:00:00"/>
    <s v="Feb"/>
    <d v="2026-02-23T00:00:00"/>
    <n v="0"/>
    <x v="2"/>
  </r>
  <r>
    <x v="12"/>
    <s v="Sponsorship Coordinatio"/>
    <s v="Nancy"/>
    <n v="35"/>
    <d v="2026-02-24T00:00:00"/>
    <s v="Feb"/>
    <d v="2026-03-30T00:00:00"/>
    <n v="0"/>
    <x v="2"/>
  </r>
  <r>
    <x v="13"/>
    <s v="Supply Chain Management"/>
    <s v="Oscar"/>
    <n v="25"/>
    <d v="2026-01-03T00:00:00"/>
    <s v="Jan"/>
    <d v="2026-01-28T00:00:00"/>
    <n v="0.5"/>
    <x v="0"/>
  </r>
  <r>
    <x v="13"/>
    <s v="Transportation Planning"/>
    <s v="Patricia"/>
    <n v="30"/>
    <d v="2026-01-29T00:00:00"/>
    <s v="Jan"/>
    <d v="2026-02-28T00:00:00"/>
    <n v="1"/>
    <x v="1"/>
  </r>
  <r>
    <x v="13"/>
    <s v="Inventory Optimization"/>
    <s v="Quentin"/>
    <n v="20"/>
    <d v="2026-03-29T00:00:00"/>
    <s v="Mar"/>
    <d v="2026-04-18T00:00:00"/>
    <n v="0"/>
    <x v="2"/>
  </r>
  <r>
    <x v="14"/>
    <s v="Product Design"/>
    <s v="Rachel"/>
    <n v="25"/>
    <d v="2026-01-02T00:00:00"/>
    <s v="Jan"/>
    <d v="2026-01-27T00:00:00"/>
    <n v="0.2"/>
    <x v="0"/>
  </r>
  <r>
    <x v="14"/>
    <s v="System Integration"/>
    <s v="Sam"/>
    <n v="22"/>
    <d v="2026-02-02T00:00:00"/>
    <s v="Feb"/>
    <d v="2026-02-24T00:00:00"/>
    <n v="0"/>
    <x v="2"/>
  </r>
  <r>
    <x v="14"/>
    <s v="Prototype Testing"/>
    <s v="Tom"/>
    <n v="27"/>
    <d v="2026-02-23T00:00:00"/>
    <s v="Feb"/>
    <d v="2026-03-21T00:00:0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63074-B915-432D-AD69-51779804A4E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3:B20" firstHeaderRow="1" firstDataRow="1" firstDataCol="1"/>
  <pivotFields count="9">
    <pivotField axis="axisRow" showAll="0">
      <items count="16">
        <item x="10"/>
        <item x="2"/>
        <item x="5"/>
        <item x="14"/>
        <item x="12"/>
        <item x="3"/>
        <item x="13"/>
        <item x="0"/>
        <item x="9"/>
        <item x="1"/>
        <item x="6"/>
        <item x="4"/>
        <item x="7"/>
        <item x="8"/>
        <item x="11"/>
        <item t="default"/>
      </items>
    </pivotField>
    <pivotField showAll="0"/>
    <pivotField showAll="0"/>
    <pivotField showAll="0"/>
    <pivotField numFmtId="14" showAll="0"/>
    <pivotField showAll="0"/>
    <pivotField numFmtId="14" showAll="0"/>
    <pivotField dataField="1" numFmtId="9" showAll="0"/>
    <pivotField showAll="0">
      <items count="4">
        <item x="1"/>
        <item h="1" x="2"/>
        <item h="1" x="0"/>
        <item t="default"/>
      </items>
    </pivotField>
  </pivotFields>
  <rowFields count="1">
    <field x="0"/>
  </rowFields>
  <rowItems count="7">
    <i>
      <x v="1"/>
    </i>
    <i>
      <x v="2"/>
    </i>
    <i>
      <x v="5"/>
    </i>
    <i>
      <x v="6"/>
    </i>
    <i>
      <x v="7"/>
    </i>
    <i>
      <x v="9"/>
    </i>
    <i>
      <x v="13"/>
    </i>
  </rowItems>
  <colItems count="1">
    <i/>
  </colItems>
  <dataFields count="1">
    <dataField name="Average of Progress" fld="7" subtotal="average" baseField="0" baseItem="1" numFmtId="9"/>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EB9B0D-C190-4493-A333-8CD71C7E770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1" firstHeaderRow="1" firstDataRow="2" firstDataCol="1"/>
  <pivotFields count="9">
    <pivotField axis="axisRow" showAll="0">
      <items count="16">
        <item x="10"/>
        <item x="2"/>
        <item x="5"/>
        <item x="14"/>
        <item x="12"/>
        <item x="3"/>
        <item x="13"/>
        <item x="0"/>
        <item x="9"/>
        <item x="1"/>
        <item x="6"/>
        <item x="4"/>
        <item x="7"/>
        <item x="8"/>
        <item x="11"/>
        <item t="default"/>
      </items>
    </pivotField>
    <pivotField showAll="0"/>
    <pivotField showAll="0"/>
    <pivotField showAll="0"/>
    <pivotField numFmtId="14" showAll="0"/>
    <pivotField showAll="0"/>
    <pivotField numFmtId="14" showAll="0"/>
    <pivotField numFmtId="9" showAll="0"/>
    <pivotField axis="axisCol" dataField="1" multipleItemSelectionAllowed="1" showAll="0">
      <items count="4">
        <item x="1"/>
        <item h="1" x="2"/>
        <item h="1" x="0"/>
        <item t="default"/>
      </items>
    </pivotField>
  </pivotFields>
  <rowFields count="1">
    <field x="0"/>
  </rowFields>
  <rowItems count="7">
    <i>
      <x v="1"/>
    </i>
    <i>
      <x v="2"/>
    </i>
    <i>
      <x v="5"/>
    </i>
    <i>
      <x v="6"/>
    </i>
    <i>
      <x v="7"/>
    </i>
    <i>
      <x v="9"/>
    </i>
    <i>
      <x v="13"/>
    </i>
  </rowItems>
  <colFields count="1">
    <field x="8"/>
  </colFields>
  <colItems count="1">
    <i>
      <x/>
    </i>
  </colItems>
  <dataFields count="1">
    <dataField name="Count of Status" fld="8" subtotal="count" showDataAs="percentOfTotal" baseField="0" baseItem="0" numFmtId="10"/>
  </dataFields>
  <chartFormats count="2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0" count="1" selected="0">
            <x v="0"/>
          </reference>
        </references>
      </pivotArea>
    </chartFormat>
    <chartFormat chart="8" format="19">
      <pivotArea type="data" outline="0" fieldPosition="0">
        <references count="2">
          <reference field="4294967294" count="1" selected="0">
            <x v="0"/>
          </reference>
          <reference field="0" count="1" selected="0">
            <x v="3"/>
          </reference>
        </references>
      </pivotArea>
    </chartFormat>
    <chartFormat chart="8" format="20">
      <pivotArea type="data" outline="0" fieldPosition="0">
        <references count="2">
          <reference field="4294967294" count="1" selected="0">
            <x v="0"/>
          </reference>
          <reference field="0" count="1" selected="0">
            <x v="4"/>
          </reference>
        </references>
      </pivotArea>
    </chartFormat>
    <chartFormat chart="8" format="21">
      <pivotArea type="data" outline="0" fieldPosition="0">
        <references count="2">
          <reference field="4294967294" count="1" selected="0">
            <x v="0"/>
          </reference>
          <reference field="0" count="1" selected="0">
            <x v="5"/>
          </reference>
        </references>
      </pivotArea>
    </chartFormat>
    <chartFormat chart="8" format="22">
      <pivotArea type="data" outline="0" fieldPosition="0">
        <references count="2">
          <reference field="4294967294" count="1" selected="0">
            <x v="0"/>
          </reference>
          <reference field="0" count="1" selected="0">
            <x v="6"/>
          </reference>
        </references>
      </pivotArea>
    </chartFormat>
    <chartFormat chart="8" format="23">
      <pivotArea type="data" outline="0" fieldPosition="0">
        <references count="2">
          <reference field="4294967294" count="1" selected="0">
            <x v="0"/>
          </reference>
          <reference field="0" count="1" selected="0">
            <x v="7"/>
          </reference>
        </references>
      </pivotArea>
    </chartFormat>
    <chartFormat chart="8" format="24">
      <pivotArea type="data" outline="0" fieldPosition="0">
        <references count="2">
          <reference field="4294967294" count="1" selected="0">
            <x v="0"/>
          </reference>
          <reference field="0" count="1" selected="0">
            <x v="8"/>
          </reference>
        </references>
      </pivotArea>
    </chartFormat>
    <chartFormat chart="8" format="25">
      <pivotArea type="data" outline="0" fieldPosition="0">
        <references count="2">
          <reference field="4294967294" count="1" selected="0">
            <x v="0"/>
          </reference>
          <reference field="0" count="1" selected="0">
            <x v="9"/>
          </reference>
        </references>
      </pivotArea>
    </chartFormat>
    <chartFormat chart="8" format="26">
      <pivotArea type="data" outline="0" fieldPosition="0">
        <references count="2">
          <reference field="4294967294" count="1" selected="0">
            <x v="0"/>
          </reference>
          <reference field="0" count="1" selected="0">
            <x v="10"/>
          </reference>
        </references>
      </pivotArea>
    </chartFormat>
    <chartFormat chart="8" format="27">
      <pivotArea type="data" outline="0" fieldPosition="0">
        <references count="2">
          <reference field="4294967294" count="1" selected="0">
            <x v="0"/>
          </reference>
          <reference field="0" count="1" selected="0">
            <x v="11"/>
          </reference>
        </references>
      </pivotArea>
    </chartFormat>
    <chartFormat chart="8" format="28">
      <pivotArea type="data" outline="0" fieldPosition="0">
        <references count="2">
          <reference field="4294967294" count="1" selected="0">
            <x v="0"/>
          </reference>
          <reference field="0" count="1" selected="0">
            <x v="12"/>
          </reference>
        </references>
      </pivotArea>
    </chartFormat>
    <chartFormat chart="8" format="29">
      <pivotArea type="data" outline="0" fieldPosition="0">
        <references count="2">
          <reference field="4294967294" count="1" selected="0">
            <x v="0"/>
          </reference>
          <reference field="0" count="1" selected="0">
            <x v="14"/>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9"/>
          </reference>
        </references>
      </pivotArea>
    </chartFormat>
    <chartFormat chart="0" format="10">
      <pivotArea type="data" outline="0" fieldPosition="0">
        <references count="2">
          <reference field="4294967294" count="1" selected="0">
            <x v="0"/>
          </reference>
          <reference field="0" count="1" selected="0">
            <x v="13"/>
          </reference>
        </references>
      </pivotArea>
    </chartFormat>
    <chartFormat chart="8" format="30">
      <pivotArea type="data" outline="0" fieldPosition="0">
        <references count="2">
          <reference field="4294967294" count="1" selected="0">
            <x v="0"/>
          </reference>
          <reference field="0" count="1" selected="0">
            <x v="1"/>
          </reference>
        </references>
      </pivotArea>
    </chartFormat>
    <chartFormat chart="8" format="31">
      <pivotArea type="data" outline="0" fieldPosition="0">
        <references count="2">
          <reference field="4294967294" count="1" selected="0">
            <x v="0"/>
          </reference>
          <reference field="0" count="1" selected="0">
            <x v="2"/>
          </reference>
        </references>
      </pivotArea>
    </chartFormat>
    <chartFormat chart="8" format="32">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6A30D1-BDEC-4EA9-947C-4FE1EC168DB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4:B91" firstHeaderRow="1" firstDataRow="1" firstDataCol="1" rowPageCount="1" colPageCount="1"/>
  <pivotFields count="10">
    <pivotField showAll="0"/>
    <pivotField dataField="1" showAll="0"/>
    <pivotField showAll="0"/>
    <pivotField axis="axisPage" multipleItemSelectionAllowed="1" showAll="0">
      <items count="19">
        <item h="1" x="5"/>
        <item h="1" x="0"/>
        <item h="1" x="1"/>
        <item h="1" x="4"/>
        <item h="1" x="15"/>
        <item h="1" x="7"/>
        <item h="1" x="2"/>
        <item h="1" x="8"/>
        <item h="1" x="3"/>
        <item h="1" x="10"/>
        <item x="6"/>
        <item x="17"/>
        <item x="9"/>
        <item x="12"/>
        <item x="16"/>
        <item x="11"/>
        <item x="13"/>
        <item x="14"/>
        <item t="default"/>
      </items>
    </pivotField>
    <pivotField showAll="0"/>
    <pivotField showAll="0">
      <items count="4">
        <item x="0"/>
        <item x="1"/>
        <item x="2"/>
        <item t="default"/>
      </items>
    </pivotField>
    <pivotField showAll="0"/>
    <pivotField axis="axisRow" numFmtId="9" showAll="0">
      <items count="13">
        <item x="3"/>
        <item x="4"/>
        <item x="11"/>
        <item x="6"/>
        <item x="8"/>
        <item x="2"/>
        <item x="5"/>
        <item x="9"/>
        <item x="7"/>
        <item x="0"/>
        <item x="10"/>
        <item x="1"/>
        <item t="default"/>
      </items>
    </pivotField>
    <pivotField showAll="0">
      <items count="4">
        <item x="1"/>
        <item x="2"/>
        <item x="0"/>
        <item t="default"/>
      </items>
    </pivotField>
    <pivotField showAll="0">
      <items count="3">
        <item x="1"/>
        <item x="0"/>
        <item t="default"/>
      </items>
    </pivotField>
  </pivotFields>
  <rowFields count="1">
    <field x="7"/>
  </rowFields>
  <rowItems count="7">
    <i>
      <x/>
    </i>
    <i>
      <x v="3"/>
    </i>
    <i>
      <x v="4"/>
    </i>
    <i>
      <x v="7"/>
    </i>
    <i>
      <x v="8"/>
    </i>
    <i>
      <x v="11"/>
    </i>
    <i t="grand">
      <x/>
    </i>
  </rowItems>
  <colItems count="1">
    <i/>
  </colItems>
  <pageFields count="1">
    <pageField fld="3" hier="-1"/>
  </pageFields>
  <dataFields count="1">
    <dataField name="Count of Task Name"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7"/>
          </reference>
        </references>
      </pivotArea>
    </chartFormat>
    <chartFormat chart="0" format="5">
      <pivotArea type="data" outline="0" fieldPosition="0">
        <references count="2">
          <reference field="4294967294" count="1" selected="0">
            <x v="0"/>
          </reference>
          <reference field="7" count="1" selected="0">
            <x v="8"/>
          </reference>
        </references>
      </pivotArea>
    </chartFormat>
    <chartFormat chart="0" format="6">
      <pivotArea type="data" outline="0" fieldPosition="0">
        <references count="2">
          <reference field="4294967294" count="1" selected="0">
            <x v="0"/>
          </reference>
          <reference field="7" count="1" selected="0">
            <x v="1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4" format="10">
      <pivotArea type="data" outline="0" fieldPosition="0">
        <references count="2">
          <reference field="4294967294" count="1" selected="0">
            <x v="0"/>
          </reference>
          <reference field="7" count="1" selected="0">
            <x v="4"/>
          </reference>
        </references>
      </pivotArea>
    </chartFormat>
    <chartFormat chart="4" format="11">
      <pivotArea type="data" outline="0" fieldPosition="0">
        <references count="2">
          <reference field="4294967294" count="1" selected="0">
            <x v="0"/>
          </reference>
          <reference field="7" count="1" selected="0">
            <x v="7"/>
          </reference>
        </references>
      </pivotArea>
    </chartFormat>
    <chartFormat chart="4" format="12">
      <pivotArea type="data" outline="0" fieldPosition="0">
        <references count="2">
          <reference field="4294967294" count="1" selected="0">
            <x v="0"/>
          </reference>
          <reference field="7" count="1" selected="0">
            <x v="8"/>
          </reference>
        </references>
      </pivotArea>
    </chartFormat>
    <chartFormat chart="4" format="13">
      <pivotArea type="data" outline="0" fieldPosition="0">
        <references count="2">
          <reference field="4294967294" count="1" selected="0">
            <x v="0"/>
          </reference>
          <reference field="7" count="1" selected="0">
            <x v="1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7" count="1" selected="0">
            <x v="0"/>
          </reference>
        </references>
      </pivotArea>
    </chartFormat>
    <chartFormat chart="5" format="16">
      <pivotArea type="data" outline="0" fieldPosition="0">
        <references count="2">
          <reference field="4294967294" count="1" selected="0">
            <x v="0"/>
          </reference>
          <reference field="7" count="1" selected="0">
            <x v="3"/>
          </reference>
        </references>
      </pivotArea>
    </chartFormat>
    <chartFormat chart="5" format="17">
      <pivotArea type="data" outline="0" fieldPosition="0">
        <references count="2">
          <reference field="4294967294" count="1" selected="0">
            <x v="0"/>
          </reference>
          <reference field="7" count="1" selected="0">
            <x v="4"/>
          </reference>
        </references>
      </pivotArea>
    </chartFormat>
    <chartFormat chart="5" format="18">
      <pivotArea type="data" outline="0" fieldPosition="0">
        <references count="2">
          <reference field="4294967294" count="1" selected="0">
            <x v="0"/>
          </reference>
          <reference field="7" count="1" selected="0">
            <x v="7"/>
          </reference>
        </references>
      </pivotArea>
    </chartFormat>
    <chartFormat chart="5" format="19">
      <pivotArea type="data" outline="0" fieldPosition="0">
        <references count="2">
          <reference field="4294967294" count="1" selected="0">
            <x v="0"/>
          </reference>
          <reference field="7" count="1" selected="0">
            <x v="8"/>
          </reference>
        </references>
      </pivotArea>
    </chartFormat>
    <chartFormat chart="5" format="20">
      <pivotArea type="data" outline="0" fieldPosition="0">
        <references count="2">
          <reference field="4294967294" count="1" selected="0">
            <x v="0"/>
          </reference>
          <reference field="7" count="1" selected="0">
            <x v="11"/>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7" count="1" selected="0">
            <x v="0"/>
          </reference>
        </references>
      </pivotArea>
    </chartFormat>
    <chartFormat chart="7" format="16">
      <pivotArea type="data" outline="0" fieldPosition="0">
        <references count="2">
          <reference field="4294967294" count="1" selected="0">
            <x v="0"/>
          </reference>
          <reference field="7" count="1" selected="0">
            <x v="3"/>
          </reference>
        </references>
      </pivotArea>
    </chartFormat>
    <chartFormat chart="7" format="17">
      <pivotArea type="data" outline="0" fieldPosition="0">
        <references count="2">
          <reference field="4294967294" count="1" selected="0">
            <x v="0"/>
          </reference>
          <reference field="7" count="1" selected="0">
            <x v="4"/>
          </reference>
        </references>
      </pivotArea>
    </chartFormat>
    <chartFormat chart="7" format="18">
      <pivotArea type="data" outline="0" fieldPosition="0">
        <references count="2">
          <reference field="4294967294" count="1" selected="0">
            <x v="0"/>
          </reference>
          <reference field="7" count="1" selected="0">
            <x v="7"/>
          </reference>
        </references>
      </pivotArea>
    </chartFormat>
    <chartFormat chart="7" format="19">
      <pivotArea type="data" outline="0" fieldPosition="0">
        <references count="2">
          <reference field="4294967294" count="1" selected="0">
            <x v="0"/>
          </reference>
          <reference field="7" count="1" selected="0">
            <x v="8"/>
          </reference>
        </references>
      </pivotArea>
    </chartFormat>
    <chartFormat chart="7" format="20">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DC5F2-BE8C-4FB8-BBE3-00BFADCA8F4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B73" firstHeaderRow="1" firstDataRow="1" firstDataCol="1"/>
  <pivotFields count="10">
    <pivotField showAll="0"/>
    <pivotField dataField="1" showAll="0"/>
    <pivotField showAll="0"/>
    <pivotField showAll="0"/>
    <pivotField showAll="0"/>
    <pivotField axis="axisRow" showAll="0">
      <items count="4">
        <item x="0"/>
        <item x="1"/>
        <item x="2"/>
        <item t="default"/>
      </items>
    </pivotField>
    <pivotField showAll="0"/>
    <pivotField numFmtId="9" showAll="0"/>
    <pivotField showAll="0">
      <items count="4">
        <item x="1"/>
        <item x="2"/>
        <item x="0"/>
        <item t="default"/>
      </items>
    </pivotField>
    <pivotField showAll="0">
      <items count="3">
        <item x="1"/>
        <item x="0"/>
        <item t="default"/>
      </items>
    </pivotField>
  </pivotFields>
  <rowFields count="1">
    <field x="5"/>
  </rowFields>
  <rowItems count="4">
    <i>
      <x/>
    </i>
    <i>
      <x v="1"/>
    </i>
    <i>
      <x v="2"/>
    </i>
    <i t="grand">
      <x/>
    </i>
  </rowItems>
  <colItems count="1">
    <i/>
  </colItems>
  <dataFields count="1">
    <dataField name="Count of Task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A1E35-F3DF-479D-8A9B-F47B5C3F54D6}"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9:D65" firstHeaderRow="1" firstDataRow="2" firstDataCol="1"/>
  <pivotFields count="10">
    <pivotField axis="axisRow" showAll="0">
      <items count="16">
        <item x="10"/>
        <item x="2"/>
        <item x="5"/>
        <item x="14"/>
        <item x="12"/>
        <item x="3"/>
        <item x="13"/>
        <item x="0"/>
        <item x="9"/>
        <item x="1"/>
        <item x="6"/>
        <item x="4"/>
        <item x="7"/>
        <item x="8"/>
        <item x="11"/>
        <item t="default"/>
      </items>
    </pivotField>
    <pivotField showAll="0"/>
    <pivotField showAll="0"/>
    <pivotField dataField="1" showAll="0"/>
    <pivotField showAll="0"/>
    <pivotField showAll="0">
      <items count="4">
        <item x="0"/>
        <item x="1"/>
        <item x="2"/>
        <item t="default"/>
      </items>
    </pivotField>
    <pivotField showAll="0"/>
    <pivotField numFmtId="9" showAll="0"/>
    <pivotField axis="axisCol" showAll="0">
      <items count="4">
        <item x="1"/>
        <item x="2"/>
        <item x="0"/>
        <item t="default"/>
      </items>
    </pivotField>
    <pivotField showAll="0">
      <items count="3">
        <item x="1"/>
        <item x="0"/>
        <item t="default"/>
      </items>
    </pivotField>
  </pivotFields>
  <rowFields count="1">
    <field x="0"/>
  </rowFields>
  <rowItems count="15">
    <i>
      <x/>
    </i>
    <i>
      <x v="1"/>
    </i>
    <i>
      <x v="2"/>
    </i>
    <i>
      <x v="3"/>
    </i>
    <i>
      <x v="4"/>
    </i>
    <i>
      <x v="5"/>
    </i>
    <i>
      <x v="6"/>
    </i>
    <i>
      <x v="7"/>
    </i>
    <i>
      <x v="8"/>
    </i>
    <i>
      <x v="9"/>
    </i>
    <i>
      <x v="10"/>
    </i>
    <i>
      <x v="11"/>
    </i>
    <i>
      <x v="12"/>
    </i>
    <i>
      <x v="13"/>
    </i>
    <i>
      <x v="14"/>
    </i>
  </rowItems>
  <colFields count="1">
    <field x="8"/>
  </colFields>
  <colItems count="3">
    <i>
      <x/>
    </i>
    <i>
      <x v="1"/>
    </i>
    <i>
      <x v="2"/>
    </i>
  </colItems>
  <dataFields count="1">
    <dataField name="Average of Days Required" fld="3" subtotal="average" baseField="0" baseItem="0" numFmtId="1"/>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4" format="6" series="1">
      <pivotArea type="data" outline="0" fieldPosition="0">
        <references count="2">
          <reference field="4294967294" count="1" selected="0">
            <x v="0"/>
          </reference>
          <reference field="8"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1015B9-1DF7-4ECA-9580-6995793FDF95}"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2:B34" firstHeaderRow="1" firstDataRow="1" firstDataCol="1"/>
  <pivotFields count="10">
    <pivotField showAll="0"/>
    <pivotField dataField="1" showAll="0">
      <items count="47">
        <item x="10"/>
        <item x="26"/>
        <item x="3"/>
        <item x="35"/>
        <item x="33"/>
        <item x="23"/>
        <item x="18"/>
        <item x="38"/>
        <item x="1"/>
        <item x="24"/>
        <item x="9"/>
        <item x="14"/>
        <item x="34"/>
        <item x="37"/>
        <item x="30"/>
        <item x="17"/>
        <item x="11"/>
        <item x="29"/>
        <item x="42"/>
        <item x="12"/>
        <item x="22"/>
        <item x="19"/>
        <item x="32"/>
        <item x="0"/>
        <item x="13"/>
        <item x="21"/>
        <item x="28"/>
        <item x="43"/>
        <item x="4"/>
        <item x="45"/>
        <item x="5"/>
        <item x="20"/>
        <item x="15"/>
        <item x="7"/>
        <item x="36"/>
        <item x="2"/>
        <item x="16"/>
        <item x="27"/>
        <item x="39"/>
        <item x="31"/>
        <item x="40"/>
        <item x="44"/>
        <item x="25"/>
        <item x="8"/>
        <item x="41"/>
        <item x="6"/>
        <item t="default"/>
      </items>
    </pivotField>
    <pivotField showAll="0"/>
    <pivotField showAll="0"/>
    <pivotField showAll="0"/>
    <pivotField showAll="0">
      <items count="4">
        <item x="0"/>
        <item x="1"/>
        <item x="2"/>
        <item t="default"/>
      </items>
    </pivotField>
    <pivotField showAll="0"/>
    <pivotField numFmtId="9" showAll="0"/>
    <pivotField showAll="0">
      <items count="4">
        <item x="1"/>
        <item x="2"/>
        <item x="0"/>
        <item t="default"/>
      </items>
    </pivotField>
    <pivotField axis="axisRow" multipleItemSelectionAllowed="1" showAll="0">
      <items count="3">
        <item x="1"/>
        <item x="0"/>
        <item t="default"/>
      </items>
    </pivotField>
  </pivotFields>
  <rowFields count="1">
    <field x="9"/>
  </rowFields>
  <rowItems count="2">
    <i>
      <x/>
    </i>
    <i>
      <x v="1"/>
    </i>
  </rowItems>
  <colItems count="1">
    <i/>
  </colItems>
  <dataFields count="1">
    <dataField name="Count of Task Name"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09583B4-326E-429B-B1CF-802CBFDF3648}" sourceName="Status">
  <pivotTables>
    <pivotTable tabId="4" name="PivotTable1"/>
    <pivotTable tabId="4" name="PivotTable2"/>
  </pivotTables>
  <data>
    <tabular pivotCacheId="1299660224">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E3CCC2CD-4453-489B-9CA0-A14B59A5BC9A}" sourceName="Project Name">
  <pivotTables>
    <pivotTable tabId="4" name="PivotTable2"/>
  </pivotTables>
  <data>
    <tabular pivotCacheId="1299660224">
      <items count="15">
        <i x="2" s="1"/>
        <i x="5" s="1"/>
        <i x="3" s="1"/>
        <i x="13" s="1"/>
        <i x="0" s="1"/>
        <i x="1" s="1"/>
        <i x="8" s="1"/>
        <i x="10" s="1" nd="1"/>
        <i x="14" s="1" nd="1"/>
        <i x="12" s="1" nd="1"/>
        <i x="9" s="1" nd="1"/>
        <i x="6" s="1" nd="1"/>
        <i x="4" s="1" nd="1"/>
        <i x="7"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Month" xr10:uid="{1F791AA8-272C-41F3-89E9-E8E36D6EB0EB}" sourceName="Start Month">
  <pivotTables>
    <pivotTable tabId="4" name="PivotTable5"/>
    <pivotTable tabId="4" name="PivotTable3"/>
    <pivotTable tabId="4" name="PivotTable4"/>
    <pivotTable tabId="4" name="PivotTable6"/>
  </pivotTables>
  <data>
    <tabular pivotCacheId="157539091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ar_end" xr10:uid="{684B29A2-ADFB-484A-AF77-3F73B3FC13E2}" sourceName="Near end">
  <pivotTables>
    <pivotTable tabId="4" name="PivotTable4"/>
    <pivotTable tabId="4" name="PivotTable3"/>
    <pivotTable tabId="4" name="PivotTable5"/>
    <pivotTable tabId="4" name="PivotTable6"/>
  </pivotTables>
  <data>
    <tabular pivotCacheId="157539091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589903DF-2826-4724-B9BD-D4190A39237C}" sourceName="Status">
  <pivotTables>
    <pivotTable tabId="4" name="PivotTable5"/>
    <pivotTable tabId="4" name="PivotTable3"/>
    <pivotTable tabId="4" name="PivotTable4"/>
    <pivotTable tabId="4" name="PivotTable6"/>
  </pivotTables>
  <data>
    <tabular pivotCacheId="157539091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E76568B-CEF3-459B-9852-45EB95B62D6D}" cache="Slicer_Status" caption="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F56C06F3-D731-43D7-98AA-3854A886C635}" cache="Slicer_Project_Name" caption="Project Name" rowHeight="234950"/>
  <slicer name="Start Month" xr10:uid="{9BBA3418-596C-4134-85DE-15DB615E2AAB}" cache="Slicer_Start_Month" caption="Start Month" startItem="1" rowHeight="234950"/>
  <slicer name="Near end" xr10:uid="{DB90AEE1-8515-4E2C-BEC6-B6D55940F1F1}" cache="Slicer_Near_end" caption="Near end" rowHeight="234950"/>
  <slicer name="Status 1" xr10:uid="{84B1A888-7465-4F5F-B55A-54CE77508DF8}" cache="Slicer_Status1" caption="Status" rowHeight="27305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BEC1-BD91-4F4F-8985-8014BC582418}">
  <dimension ref="B2:H52"/>
  <sheetViews>
    <sheetView showGridLines="0" tabSelected="1" workbookViewId="0">
      <selection activeCell="D51" sqref="B6:H52"/>
    </sheetView>
  </sheetViews>
  <sheetFormatPr defaultColWidth="9.109375" defaultRowHeight="18" customHeight="1" x14ac:dyDescent="0.3"/>
  <cols>
    <col min="1" max="1" width="4.33203125" style="2" customWidth="1"/>
    <col min="2" max="2" width="15.5546875" style="2" customWidth="1"/>
    <col min="3" max="3" width="25" style="2" customWidth="1"/>
    <col min="4" max="4" width="13.44140625" style="2" customWidth="1"/>
    <col min="5" max="5" width="13.5546875" style="2" customWidth="1"/>
    <col min="6" max="6" width="15.5546875" style="2" customWidth="1"/>
    <col min="7" max="7" width="16.5546875" style="2" customWidth="1"/>
    <col min="8" max="8" width="17" style="2" customWidth="1"/>
    <col min="9" max="16384" width="9.109375" style="2"/>
  </cols>
  <sheetData>
    <row r="2" spans="2:8" ht="18" customHeight="1" thickBot="1" x14ac:dyDescent="0.35">
      <c r="B2" s="1" t="s">
        <v>0</v>
      </c>
      <c r="C2" s="1"/>
      <c r="D2" s="1"/>
      <c r="E2" s="1"/>
      <c r="F2" s="1"/>
      <c r="G2" s="1"/>
      <c r="H2" s="1"/>
    </row>
    <row r="4" spans="2:8" ht="18" customHeight="1" thickBot="1" x14ac:dyDescent="0.35">
      <c r="B4" s="3" t="s">
        <v>1</v>
      </c>
      <c r="C4" s="1"/>
      <c r="D4" s="1"/>
      <c r="E4" s="1"/>
      <c r="F4" s="1"/>
      <c r="G4" s="1"/>
      <c r="H4" s="1"/>
    </row>
    <row r="6" spans="2:8" ht="18" customHeight="1" x14ac:dyDescent="0.3">
      <c r="B6" s="4" t="s">
        <v>2</v>
      </c>
      <c r="C6" s="4" t="s">
        <v>3</v>
      </c>
      <c r="D6" s="4" t="s">
        <v>4</v>
      </c>
      <c r="E6" s="4" t="s">
        <v>5</v>
      </c>
      <c r="F6" s="4" t="s">
        <v>6</v>
      </c>
      <c r="G6" s="4" t="s">
        <v>7</v>
      </c>
      <c r="H6" s="4" t="s">
        <v>8</v>
      </c>
    </row>
    <row r="7" spans="2:8" ht="18" customHeight="1" x14ac:dyDescent="0.3">
      <c r="B7" s="5" t="s">
        <v>9</v>
      </c>
      <c r="C7" s="5" t="s">
        <v>10</v>
      </c>
      <c r="D7" s="5" t="s">
        <v>11</v>
      </c>
      <c r="E7" s="6">
        <v>45292</v>
      </c>
      <c r="F7" s="5">
        <v>13</v>
      </c>
      <c r="G7" s="6">
        <v>45305</v>
      </c>
      <c r="H7" s="7">
        <v>0.78</v>
      </c>
    </row>
    <row r="8" spans="2:8" ht="18" customHeight="1" x14ac:dyDescent="0.3">
      <c r="B8" s="5" t="s">
        <v>9</v>
      </c>
      <c r="C8" s="5" t="s">
        <v>12</v>
      </c>
      <c r="D8" s="5" t="s">
        <v>13</v>
      </c>
      <c r="E8" s="6">
        <v>45305</v>
      </c>
      <c r="F8" s="5">
        <v>14</v>
      </c>
      <c r="G8" s="6">
        <v>45319</v>
      </c>
      <c r="H8" s="7">
        <v>1</v>
      </c>
    </row>
    <row r="9" spans="2:8" ht="18" customHeight="1" x14ac:dyDescent="0.3">
      <c r="B9" s="5" t="s">
        <v>9</v>
      </c>
      <c r="C9" s="5" t="s">
        <v>14</v>
      </c>
      <c r="D9" s="5" t="s">
        <v>15</v>
      </c>
      <c r="E9" s="6">
        <v>45319</v>
      </c>
      <c r="F9" s="5">
        <v>22</v>
      </c>
      <c r="G9" s="6">
        <v>45341</v>
      </c>
      <c r="H9" s="7">
        <v>0.45</v>
      </c>
    </row>
    <row r="10" spans="2:8" ht="18" customHeight="1" x14ac:dyDescent="0.3">
      <c r="B10" s="5" t="s">
        <v>9</v>
      </c>
      <c r="C10" s="5" t="s">
        <v>16</v>
      </c>
      <c r="D10" s="5" t="s">
        <v>17</v>
      </c>
      <c r="E10" s="6">
        <v>45340</v>
      </c>
      <c r="F10" s="5">
        <v>25</v>
      </c>
      <c r="G10" s="6">
        <v>45365</v>
      </c>
      <c r="H10" s="7">
        <v>0</v>
      </c>
    </row>
    <row r="11" spans="2:8" ht="18" customHeight="1" x14ac:dyDescent="0.3">
      <c r="B11" s="5" t="s">
        <v>18</v>
      </c>
      <c r="C11" s="5" t="s">
        <v>19</v>
      </c>
      <c r="D11" s="5" t="s">
        <v>20</v>
      </c>
      <c r="E11" s="6">
        <v>45293</v>
      </c>
      <c r="F11" s="5">
        <v>18</v>
      </c>
      <c r="G11" s="6">
        <v>45311</v>
      </c>
      <c r="H11" s="7">
        <v>1</v>
      </c>
    </row>
    <row r="12" spans="2:8" ht="18" customHeight="1" x14ac:dyDescent="0.3">
      <c r="B12" s="5" t="s">
        <v>18</v>
      </c>
      <c r="C12" s="5" t="s">
        <v>21</v>
      </c>
      <c r="D12" s="5" t="s">
        <v>22</v>
      </c>
      <c r="E12" s="6">
        <v>45311</v>
      </c>
      <c r="F12" s="5">
        <v>10</v>
      </c>
      <c r="G12" s="6">
        <v>45321</v>
      </c>
      <c r="H12" s="7">
        <v>0.78</v>
      </c>
    </row>
    <row r="13" spans="2:8" ht="18" customHeight="1" x14ac:dyDescent="0.3">
      <c r="B13" s="5" t="s">
        <v>18</v>
      </c>
      <c r="C13" s="5" t="s">
        <v>23</v>
      </c>
      <c r="D13" s="5" t="s">
        <v>24</v>
      </c>
      <c r="E13" s="6">
        <v>45326</v>
      </c>
      <c r="F13" s="5">
        <v>25</v>
      </c>
      <c r="G13" s="6">
        <v>45351</v>
      </c>
      <c r="H13" s="7">
        <v>0</v>
      </c>
    </row>
    <row r="14" spans="2:8" ht="18" customHeight="1" x14ac:dyDescent="0.3">
      <c r="B14" s="5" t="s">
        <v>25</v>
      </c>
      <c r="C14" s="5" t="s">
        <v>26</v>
      </c>
      <c r="D14" s="5" t="s">
        <v>27</v>
      </c>
      <c r="E14" s="6">
        <v>45323</v>
      </c>
      <c r="F14" s="5">
        <v>22</v>
      </c>
      <c r="G14" s="6">
        <v>45345</v>
      </c>
      <c r="H14" s="7">
        <v>1</v>
      </c>
    </row>
    <row r="15" spans="2:8" ht="18" customHeight="1" x14ac:dyDescent="0.3">
      <c r="B15" s="5" t="s">
        <v>25</v>
      </c>
      <c r="C15" s="5" t="s">
        <v>28</v>
      </c>
      <c r="D15" s="5" t="s">
        <v>29</v>
      </c>
      <c r="E15" s="6">
        <v>45346</v>
      </c>
      <c r="F15" s="5">
        <v>25</v>
      </c>
      <c r="G15" s="6">
        <v>45371</v>
      </c>
      <c r="H15" s="7">
        <v>1</v>
      </c>
    </row>
    <row r="16" spans="2:8" ht="18" customHeight="1" x14ac:dyDescent="0.3">
      <c r="B16" s="5" t="s">
        <v>25</v>
      </c>
      <c r="C16" s="5" t="s">
        <v>30</v>
      </c>
      <c r="D16" s="5" t="s">
        <v>31</v>
      </c>
      <c r="E16" s="6">
        <v>45372</v>
      </c>
      <c r="F16" s="5">
        <v>30</v>
      </c>
      <c r="G16" s="6">
        <v>45402</v>
      </c>
      <c r="H16" s="7">
        <v>0</v>
      </c>
    </row>
    <row r="17" spans="2:8" ht="18" customHeight="1" x14ac:dyDescent="0.3">
      <c r="B17" s="5" t="s">
        <v>32</v>
      </c>
      <c r="C17" s="5" t="s">
        <v>33</v>
      </c>
      <c r="D17" s="5" t="s">
        <v>34</v>
      </c>
      <c r="E17" s="6">
        <v>45324</v>
      </c>
      <c r="F17" s="5">
        <v>22</v>
      </c>
      <c r="G17" s="6">
        <v>45346</v>
      </c>
      <c r="H17" s="7">
        <v>0.1</v>
      </c>
    </row>
    <row r="18" spans="2:8" ht="18" customHeight="1" x14ac:dyDescent="0.3">
      <c r="B18" s="5" t="s">
        <v>32</v>
      </c>
      <c r="C18" s="5" t="s">
        <v>35</v>
      </c>
      <c r="D18" s="5" t="s">
        <v>36</v>
      </c>
      <c r="E18" s="6">
        <v>45335</v>
      </c>
      <c r="F18" s="5">
        <v>21</v>
      </c>
      <c r="G18" s="6">
        <v>45331</v>
      </c>
      <c r="H18" s="7">
        <v>0.78</v>
      </c>
    </row>
    <row r="19" spans="2:8" ht="18" customHeight="1" x14ac:dyDescent="0.3">
      <c r="B19" s="5" t="s">
        <v>32</v>
      </c>
      <c r="C19" s="5" t="s">
        <v>37</v>
      </c>
      <c r="D19" s="5" t="s">
        <v>36</v>
      </c>
      <c r="E19" s="6">
        <v>45370</v>
      </c>
      <c r="F19" s="5">
        <v>25</v>
      </c>
      <c r="G19" s="6">
        <v>45395</v>
      </c>
      <c r="H19" s="7">
        <v>1</v>
      </c>
    </row>
    <row r="20" spans="2:8" ht="18" customHeight="1" x14ac:dyDescent="0.3">
      <c r="B20" s="5" t="s">
        <v>38</v>
      </c>
      <c r="C20" s="5" t="s">
        <v>39</v>
      </c>
      <c r="D20" s="5" t="s">
        <v>40</v>
      </c>
      <c r="E20" s="6">
        <v>45293</v>
      </c>
      <c r="F20" s="5">
        <v>23</v>
      </c>
      <c r="G20" s="6">
        <v>45316</v>
      </c>
      <c r="H20" s="7">
        <v>0.5</v>
      </c>
    </row>
    <row r="21" spans="2:8" ht="18" customHeight="1" x14ac:dyDescent="0.3">
      <c r="B21" s="5" t="s">
        <v>38</v>
      </c>
      <c r="C21" s="5" t="s">
        <v>41</v>
      </c>
      <c r="D21" s="5" t="s">
        <v>42</v>
      </c>
      <c r="E21" s="6">
        <v>45317</v>
      </c>
      <c r="F21" s="5">
        <v>32</v>
      </c>
      <c r="G21" s="6">
        <v>45349</v>
      </c>
      <c r="H21" s="7">
        <v>0</v>
      </c>
    </row>
    <row r="22" spans="2:8" ht="18" customHeight="1" x14ac:dyDescent="0.3">
      <c r="B22" s="5" t="s">
        <v>38</v>
      </c>
      <c r="C22" s="5" t="s">
        <v>43</v>
      </c>
      <c r="D22" s="5" t="s">
        <v>44</v>
      </c>
      <c r="E22" s="6">
        <v>45350</v>
      </c>
      <c r="F22" s="5">
        <v>27</v>
      </c>
      <c r="G22" s="6">
        <v>45377</v>
      </c>
      <c r="H22" s="7">
        <v>0</v>
      </c>
    </row>
    <row r="23" spans="2:8" ht="18" customHeight="1" x14ac:dyDescent="0.3">
      <c r="B23" s="5" t="s">
        <v>45</v>
      </c>
      <c r="C23" s="5" t="s">
        <v>46</v>
      </c>
      <c r="D23" s="5" t="s">
        <v>47</v>
      </c>
      <c r="E23" s="6">
        <v>45293</v>
      </c>
      <c r="F23" s="5">
        <v>36</v>
      </c>
      <c r="G23" s="6">
        <v>45329</v>
      </c>
      <c r="H23" s="7">
        <v>1</v>
      </c>
    </row>
    <row r="24" spans="2:8" ht="18" customHeight="1" x14ac:dyDescent="0.3">
      <c r="B24" s="5" t="s">
        <v>45</v>
      </c>
      <c r="C24" s="5" t="s">
        <v>48</v>
      </c>
      <c r="D24" s="5" t="s">
        <v>49</v>
      </c>
      <c r="E24" s="6">
        <v>45330</v>
      </c>
      <c r="F24" s="5">
        <v>34</v>
      </c>
      <c r="G24" s="6">
        <v>45364</v>
      </c>
      <c r="H24" s="7">
        <v>0</v>
      </c>
    </row>
    <row r="25" spans="2:8" ht="18" customHeight="1" x14ac:dyDescent="0.3">
      <c r="B25" s="5" t="s">
        <v>45</v>
      </c>
      <c r="C25" s="5" t="s">
        <v>50</v>
      </c>
      <c r="D25" s="5" t="s">
        <v>51</v>
      </c>
      <c r="E25" s="6">
        <v>45365</v>
      </c>
      <c r="F25" s="5">
        <v>30</v>
      </c>
      <c r="G25" s="6">
        <v>45395</v>
      </c>
      <c r="H25" s="7">
        <v>0</v>
      </c>
    </row>
    <row r="26" spans="2:8" ht="18" customHeight="1" x14ac:dyDescent="0.3">
      <c r="B26" s="5" t="s">
        <v>52</v>
      </c>
      <c r="C26" s="5" t="s">
        <v>53</v>
      </c>
      <c r="D26" s="5" t="s">
        <v>54</v>
      </c>
      <c r="E26" s="6">
        <v>45294</v>
      </c>
      <c r="F26" s="5">
        <v>47</v>
      </c>
      <c r="G26" s="6">
        <v>45341</v>
      </c>
      <c r="H26" s="7">
        <v>0.3</v>
      </c>
    </row>
    <row r="27" spans="2:8" ht="18" customHeight="1" x14ac:dyDescent="0.3">
      <c r="B27" s="5" t="s">
        <v>52</v>
      </c>
      <c r="C27" s="5" t="s">
        <v>55</v>
      </c>
      <c r="D27" s="5" t="s">
        <v>56</v>
      </c>
      <c r="E27" s="6">
        <v>45339</v>
      </c>
      <c r="F27" s="5">
        <v>27</v>
      </c>
      <c r="G27" s="6">
        <v>45366</v>
      </c>
      <c r="H27" s="7">
        <v>0</v>
      </c>
    </row>
    <row r="28" spans="2:8" ht="18" customHeight="1" x14ac:dyDescent="0.3">
      <c r="B28" s="5" t="s">
        <v>52</v>
      </c>
      <c r="C28" s="5" t="s">
        <v>57</v>
      </c>
      <c r="D28" s="5" t="s">
        <v>58</v>
      </c>
      <c r="E28" s="6">
        <v>45365</v>
      </c>
      <c r="F28" s="5">
        <v>22</v>
      </c>
      <c r="G28" s="6">
        <v>45387</v>
      </c>
      <c r="H28" s="7">
        <v>0</v>
      </c>
    </row>
    <row r="29" spans="2:8" ht="18" customHeight="1" x14ac:dyDescent="0.3">
      <c r="B29" s="5" t="s">
        <v>59</v>
      </c>
      <c r="C29" s="5" t="s">
        <v>60</v>
      </c>
      <c r="D29" s="5" t="s">
        <v>61</v>
      </c>
      <c r="E29" s="6">
        <v>45294</v>
      </c>
      <c r="F29" s="5">
        <v>60</v>
      </c>
      <c r="G29" s="6">
        <v>45354</v>
      </c>
      <c r="H29" s="7">
        <v>0.7</v>
      </c>
    </row>
    <row r="30" spans="2:8" ht="18" customHeight="1" x14ac:dyDescent="0.3">
      <c r="B30" s="5" t="s">
        <v>59</v>
      </c>
      <c r="C30" s="5" t="s">
        <v>62</v>
      </c>
      <c r="D30" s="5" t="s">
        <v>63</v>
      </c>
      <c r="E30" s="6">
        <v>45297</v>
      </c>
      <c r="F30" s="5">
        <v>20</v>
      </c>
      <c r="G30" s="6">
        <v>45317</v>
      </c>
      <c r="H30" s="7">
        <v>0.78</v>
      </c>
    </row>
    <row r="31" spans="2:8" ht="18" customHeight="1" x14ac:dyDescent="0.3">
      <c r="B31" s="5" t="s">
        <v>59</v>
      </c>
      <c r="C31" s="5" t="s">
        <v>64</v>
      </c>
      <c r="D31" s="5" t="s">
        <v>65</v>
      </c>
      <c r="E31" s="6">
        <v>45325</v>
      </c>
      <c r="F31" s="5">
        <v>35</v>
      </c>
      <c r="G31" s="6">
        <v>45360</v>
      </c>
      <c r="H31" s="7">
        <v>0</v>
      </c>
    </row>
    <row r="32" spans="2:8" ht="18" customHeight="1" x14ac:dyDescent="0.3">
      <c r="B32" s="5" t="s">
        <v>66</v>
      </c>
      <c r="C32" s="5" t="s">
        <v>67</v>
      </c>
      <c r="D32" s="5" t="s">
        <v>68</v>
      </c>
      <c r="E32" s="6">
        <v>45292</v>
      </c>
      <c r="F32" s="5">
        <v>25</v>
      </c>
      <c r="G32" s="6">
        <v>45317</v>
      </c>
      <c r="H32" s="7">
        <v>1</v>
      </c>
    </row>
    <row r="33" spans="2:8" ht="18" customHeight="1" x14ac:dyDescent="0.3">
      <c r="B33" s="5" t="s">
        <v>66</v>
      </c>
      <c r="C33" s="5" t="s">
        <v>69</v>
      </c>
      <c r="D33" s="5" t="s">
        <v>70</v>
      </c>
      <c r="E33" s="6">
        <v>45318</v>
      </c>
      <c r="F33" s="5">
        <v>31</v>
      </c>
      <c r="G33" s="6">
        <v>45349</v>
      </c>
      <c r="H33" s="7">
        <v>1</v>
      </c>
    </row>
    <row r="34" spans="2:8" ht="18" customHeight="1" x14ac:dyDescent="0.3">
      <c r="B34" s="5" t="s">
        <v>66</v>
      </c>
      <c r="C34" s="5" t="s">
        <v>71</v>
      </c>
      <c r="D34" s="5" t="s">
        <v>72</v>
      </c>
      <c r="E34" s="6">
        <v>45353</v>
      </c>
      <c r="F34" s="5">
        <v>22</v>
      </c>
      <c r="G34" s="6">
        <v>45375</v>
      </c>
      <c r="H34" s="7">
        <v>0</v>
      </c>
    </row>
    <row r="35" spans="2:8" ht="18" customHeight="1" x14ac:dyDescent="0.3">
      <c r="B35" s="5" t="s">
        <v>73</v>
      </c>
      <c r="C35" s="5" t="s">
        <v>74</v>
      </c>
      <c r="D35" s="5" t="s">
        <v>75</v>
      </c>
      <c r="E35" s="6">
        <v>45294</v>
      </c>
      <c r="F35" s="5">
        <v>30</v>
      </c>
      <c r="G35" s="6">
        <v>45324</v>
      </c>
      <c r="H35" s="7">
        <v>0.4</v>
      </c>
    </row>
    <row r="36" spans="2:8" ht="18" customHeight="1" x14ac:dyDescent="0.3">
      <c r="B36" s="5" t="s">
        <v>73</v>
      </c>
      <c r="C36" s="5" t="s">
        <v>76</v>
      </c>
      <c r="D36" s="5" t="s">
        <v>77</v>
      </c>
      <c r="E36" s="6">
        <v>45325</v>
      </c>
      <c r="F36" s="5">
        <v>25</v>
      </c>
      <c r="G36" s="6">
        <v>45350</v>
      </c>
      <c r="H36" s="7">
        <v>0</v>
      </c>
    </row>
    <row r="37" spans="2:8" ht="18" customHeight="1" x14ac:dyDescent="0.3">
      <c r="B37" s="5" t="s">
        <v>73</v>
      </c>
      <c r="C37" s="5" t="s">
        <v>78</v>
      </c>
      <c r="D37" s="5" t="s">
        <v>79</v>
      </c>
      <c r="E37" s="6">
        <v>45351</v>
      </c>
      <c r="F37" s="5">
        <v>20</v>
      </c>
      <c r="G37" s="6">
        <v>45371</v>
      </c>
      <c r="H37" s="7">
        <v>0</v>
      </c>
    </row>
    <row r="38" spans="2:8" ht="18" customHeight="1" x14ac:dyDescent="0.3">
      <c r="B38" s="5" t="s">
        <v>80</v>
      </c>
      <c r="C38" s="5" t="s">
        <v>81</v>
      </c>
      <c r="D38" s="5" t="s">
        <v>22</v>
      </c>
      <c r="E38" s="6">
        <v>45293</v>
      </c>
      <c r="F38" s="5">
        <v>35</v>
      </c>
      <c r="G38" s="6">
        <v>45328</v>
      </c>
      <c r="H38" s="7">
        <v>0.6</v>
      </c>
    </row>
    <row r="39" spans="2:8" ht="18" customHeight="1" x14ac:dyDescent="0.3">
      <c r="B39" s="5" t="s">
        <v>80</v>
      </c>
      <c r="C39" s="5" t="s">
        <v>82</v>
      </c>
      <c r="D39" s="5" t="s">
        <v>83</v>
      </c>
      <c r="E39" s="6">
        <v>45324</v>
      </c>
      <c r="F39" s="5">
        <v>32</v>
      </c>
      <c r="G39" s="6">
        <v>45356</v>
      </c>
      <c r="H39" s="7">
        <v>0</v>
      </c>
    </row>
    <row r="40" spans="2:8" ht="18" customHeight="1" x14ac:dyDescent="0.3">
      <c r="B40" s="5" t="s">
        <v>80</v>
      </c>
      <c r="C40" s="5" t="s">
        <v>84</v>
      </c>
      <c r="D40" s="5" t="s">
        <v>85</v>
      </c>
      <c r="E40" s="6">
        <v>45357</v>
      </c>
      <c r="F40" s="5">
        <v>25</v>
      </c>
      <c r="G40" s="6">
        <v>45382</v>
      </c>
      <c r="H40" s="7">
        <v>0</v>
      </c>
    </row>
    <row r="41" spans="2:8" ht="18" customHeight="1" x14ac:dyDescent="0.3">
      <c r="B41" s="5" t="s">
        <v>86</v>
      </c>
      <c r="C41" s="5" t="s">
        <v>87</v>
      </c>
      <c r="D41" s="5" t="s">
        <v>88</v>
      </c>
      <c r="E41" s="6">
        <v>45295</v>
      </c>
      <c r="F41" s="5">
        <v>27</v>
      </c>
      <c r="G41" s="6">
        <v>45322</v>
      </c>
      <c r="H41" s="7">
        <v>0.8</v>
      </c>
    </row>
    <row r="42" spans="2:8" ht="18" customHeight="1" x14ac:dyDescent="0.3">
      <c r="B42" s="5" t="s">
        <v>86</v>
      </c>
      <c r="C42" s="5" t="s">
        <v>89</v>
      </c>
      <c r="D42" s="5" t="s">
        <v>90</v>
      </c>
      <c r="E42" s="6">
        <v>45319</v>
      </c>
      <c r="F42" s="5">
        <v>30</v>
      </c>
      <c r="G42" s="6">
        <v>45349</v>
      </c>
      <c r="H42" s="7">
        <v>0</v>
      </c>
    </row>
    <row r="43" spans="2:8" ht="18" customHeight="1" x14ac:dyDescent="0.3">
      <c r="B43" s="5" t="s">
        <v>86</v>
      </c>
      <c r="C43" s="5" t="s">
        <v>91</v>
      </c>
      <c r="D43" s="5" t="s">
        <v>92</v>
      </c>
      <c r="E43" s="6">
        <v>45350</v>
      </c>
      <c r="F43" s="5">
        <v>22</v>
      </c>
      <c r="G43" s="6">
        <v>45372</v>
      </c>
      <c r="H43" s="7">
        <v>0</v>
      </c>
    </row>
    <row r="44" spans="2:8" ht="18" customHeight="1" x14ac:dyDescent="0.3">
      <c r="B44" s="5" t="s">
        <v>93</v>
      </c>
      <c r="C44" s="5" t="s">
        <v>94</v>
      </c>
      <c r="D44" s="5" t="s">
        <v>95</v>
      </c>
      <c r="E44" s="6">
        <v>45294</v>
      </c>
      <c r="F44" s="5">
        <v>25</v>
      </c>
      <c r="G44" s="6">
        <v>45319</v>
      </c>
      <c r="H44" s="7">
        <v>0.3</v>
      </c>
    </row>
    <row r="45" spans="2:8" ht="18" customHeight="1" x14ac:dyDescent="0.3">
      <c r="B45" s="5" t="s">
        <v>93</v>
      </c>
      <c r="C45" s="5" t="s">
        <v>96</v>
      </c>
      <c r="D45" s="5" t="s">
        <v>97</v>
      </c>
      <c r="E45" s="6">
        <v>45325</v>
      </c>
      <c r="F45" s="5">
        <v>20</v>
      </c>
      <c r="G45" s="6">
        <v>45345</v>
      </c>
      <c r="H45" s="7">
        <v>0</v>
      </c>
    </row>
    <row r="46" spans="2:8" ht="18" customHeight="1" x14ac:dyDescent="0.3">
      <c r="B46" s="5" t="s">
        <v>93</v>
      </c>
      <c r="C46" s="5" t="s">
        <v>98</v>
      </c>
      <c r="D46" s="5" t="s">
        <v>99</v>
      </c>
      <c r="E46" s="6">
        <v>45346</v>
      </c>
      <c r="F46" s="5">
        <v>35</v>
      </c>
      <c r="G46" s="6">
        <v>45381</v>
      </c>
      <c r="H46" s="7">
        <v>0</v>
      </c>
    </row>
    <row r="47" spans="2:8" ht="18" customHeight="1" x14ac:dyDescent="0.3">
      <c r="B47" s="5" t="s">
        <v>100</v>
      </c>
      <c r="C47" s="5" t="s">
        <v>101</v>
      </c>
      <c r="D47" s="5" t="s">
        <v>102</v>
      </c>
      <c r="E47" s="6">
        <v>45294</v>
      </c>
      <c r="F47" s="5">
        <v>25</v>
      </c>
      <c r="G47" s="6">
        <v>45319</v>
      </c>
      <c r="H47" s="7">
        <v>0.5</v>
      </c>
    </row>
    <row r="48" spans="2:8" ht="18" customHeight="1" x14ac:dyDescent="0.3">
      <c r="B48" s="5" t="s">
        <v>100</v>
      </c>
      <c r="C48" s="5" t="s">
        <v>103</v>
      </c>
      <c r="D48" s="5" t="s">
        <v>104</v>
      </c>
      <c r="E48" s="6">
        <v>45320</v>
      </c>
      <c r="F48" s="5">
        <v>30</v>
      </c>
      <c r="G48" s="6">
        <v>45350</v>
      </c>
      <c r="H48" s="7">
        <v>1</v>
      </c>
    </row>
    <row r="49" spans="2:8" ht="18" customHeight="1" x14ac:dyDescent="0.3">
      <c r="B49" s="5" t="s">
        <v>100</v>
      </c>
      <c r="C49" s="5" t="s">
        <v>105</v>
      </c>
      <c r="D49" s="5" t="s">
        <v>106</v>
      </c>
      <c r="E49" s="6">
        <v>45380</v>
      </c>
      <c r="F49" s="5">
        <v>20</v>
      </c>
      <c r="G49" s="6">
        <v>45400</v>
      </c>
      <c r="H49" s="7">
        <v>0</v>
      </c>
    </row>
    <row r="50" spans="2:8" ht="18" customHeight="1" x14ac:dyDescent="0.3">
      <c r="B50" s="5" t="s">
        <v>107</v>
      </c>
      <c r="C50" s="5" t="s">
        <v>108</v>
      </c>
      <c r="D50" s="5" t="s">
        <v>49</v>
      </c>
      <c r="E50" s="6">
        <v>45293</v>
      </c>
      <c r="F50" s="5">
        <v>25</v>
      </c>
      <c r="G50" s="6">
        <v>45318</v>
      </c>
      <c r="H50" s="7">
        <v>0.2</v>
      </c>
    </row>
    <row r="51" spans="2:8" ht="18" customHeight="1" x14ac:dyDescent="0.3">
      <c r="B51" s="5" t="s">
        <v>107</v>
      </c>
      <c r="C51" s="5" t="s">
        <v>109</v>
      </c>
      <c r="D51" s="5" t="s">
        <v>51</v>
      </c>
      <c r="E51" s="6">
        <v>45324</v>
      </c>
      <c r="F51" s="5">
        <v>22</v>
      </c>
      <c r="G51" s="6">
        <v>45346</v>
      </c>
      <c r="H51" s="7">
        <v>0</v>
      </c>
    </row>
    <row r="52" spans="2:8" ht="18" customHeight="1" x14ac:dyDescent="0.3">
      <c r="B52" s="5" t="s">
        <v>107</v>
      </c>
      <c r="C52" s="5" t="s">
        <v>110</v>
      </c>
      <c r="D52" s="5" t="s">
        <v>111</v>
      </c>
      <c r="E52" s="6">
        <v>45345</v>
      </c>
      <c r="F52" s="5">
        <v>27</v>
      </c>
      <c r="G52" s="6">
        <v>45372</v>
      </c>
      <c r="H52" s="7">
        <v>0</v>
      </c>
    </row>
  </sheetData>
  <autoFilter ref="B6:H52" xr:uid="{3FC7BEC1-BD91-4F4F-8985-8014BC5824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CF65-EEAF-4B36-B9E5-CF4068AB434F}">
  <dimension ref="A1:L47"/>
  <sheetViews>
    <sheetView workbookViewId="0">
      <selection activeCell="D10" sqref="A1:J47"/>
    </sheetView>
  </sheetViews>
  <sheetFormatPr defaultRowHeight="18" x14ac:dyDescent="0.5"/>
  <cols>
    <col min="1" max="1" width="13.6640625" customWidth="1"/>
    <col min="2" max="2" width="22.77734375" customWidth="1"/>
    <col min="3" max="3" width="11.77734375" customWidth="1"/>
    <col min="4" max="7" width="14.5546875" customWidth="1"/>
    <col min="8" max="8" width="10.33203125" customWidth="1"/>
    <col min="10" max="10" width="10.44140625" customWidth="1"/>
    <col min="11" max="11" width="10.33203125" customWidth="1"/>
  </cols>
  <sheetData>
    <row r="1" spans="1:12" x14ac:dyDescent="0.5">
      <c r="A1" s="4" t="s">
        <v>2</v>
      </c>
      <c r="B1" s="4" t="s">
        <v>3</v>
      </c>
      <c r="C1" s="4" t="s">
        <v>4</v>
      </c>
      <c r="D1" s="4" t="s">
        <v>6</v>
      </c>
      <c r="E1" s="4" t="s">
        <v>5</v>
      </c>
      <c r="F1" s="4" t="s">
        <v>131</v>
      </c>
      <c r="G1" s="4" t="s">
        <v>7</v>
      </c>
      <c r="H1" s="4" t="s">
        <v>8</v>
      </c>
      <c r="I1" s="8" t="s">
        <v>113</v>
      </c>
      <c r="J1" s="8" t="s">
        <v>123</v>
      </c>
    </row>
    <row r="2" spans="1:12" x14ac:dyDescent="0.5">
      <c r="A2" s="5" t="s">
        <v>9</v>
      </c>
      <c r="B2" s="5" t="s">
        <v>10</v>
      </c>
      <c r="C2" s="5" t="s">
        <v>11</v>
      </c>
      <c r="D2" s="5">
        <v>13</v>
      </c>
      <c r="E2" s="6">
        <v>46023</v>
      </c>
      <c r="F2" s="6" t="str">
        <f>TEXT(E2,"mmm")</f>
        <v>Jan</v>
      </c>
      <c r="G2" s="6">
        <v>46036</v>
      </c>
      <c r="H2" s="7">
        <v>0.78</v>
      </c>
      <c r="I2" t="str">
        <f>IF(H2=100%, "Completed",IF(H2=0%, "Not Started",  "Pending"))</f>
        <v>Pending</v>
      </c>
      <c r="J2" t="str">
        <f ca="1">IF(AND((TODAY()-G2)&lt;=5,H2&lt;=50%),"Close to end","Okay")</f>
        <v>Okay</v>
      </c>
    </row>
    <row r="3" spans="1:12" x14ac:dyDescent="0.5">
      <c r="A3" s="5" t="s">
        <v>9</v>
      </c>
      <c r="B3" s="5" t="s">
        <v>12</v>
      </c>
      <c r="C3" s="5" t="s">
        <v>13</v>
      </c>
      <c r="D3" s="5">
        <v>14</v>
      </c>
      <c r="E3" s="6">
        <v>46036</v>
      </c>
      <c r="F3" s="6" t="str">
        <f t="shared" ref="F3:F47" si="0">TEXT(E3,"mmm")</f>
        <v>Jan</v>
      </c>
      <c r="G3" s="6">
        <v>46050</v>
      </c>
      <c r="H3" s="7">
        <v>1</v>
      </c>
      <c r="I3" t="str">
        <f t="shared" ref="I3:I47" si="1">IF(H3=100%, "Completed",IF(H3=0%, "Not Started",  "Pending"))</f>
        <v>Completed</v>
      </c>
      <c r="J3" t="str">
        <f t="shared" ref="J3:J47" ca="1" si="2">IF(AND((TODAY()-G3)&lt;=5,H3&lt;=50%),"Close to end","Okay")</f>
        <v>Okay</v>
      </c>
    </row>
    <row r="4" spans="1:12" x14ac:dyDescent="0.5">
      <c r="A4" s="5" t="s">
        <v>9</v>
      </c>
      <c r="B4" s="5" t="s">
        <v>14</v>
      </c>
      <c r="C4" s="5" t="s">
        <v>15</v>
      </c>
      <c r="D4" s="5">
        <v>22</v>
      </c>
      <c r="E4" s="6">
        <v>46050</v>
      </c>
      <c r="F4" s="6" t="str">
        <f t="shared" si="0"/>
        <v>Jan</v>
      </c>
      <c r="G4" s="6">
        <v>46072</v>
      </c>
      <c r="H4" s="7">
        <v>0.45</v>
      </c>
      <c r="I4" t="str">
        <f t="shared" si="1"/>
        <v>Pending</v>
      </c>
      <c r="J4" t="str">
        <f t="shared" ca="1" si="2"/>
        <v>Okay</v>
      </c>
      <c r="K4" s="14"/>
      <c r="L4" t="b">
        <f>ISNUMBER(E2)</f>
        <v>1</v>
      </c>
    </row>
    <row r="5" spans="1:12" x14ac:dyDescent="0.5">
      <c r="A5" s="5" t="s">
        <v>9</v>
      </c>
      <c r="B5" s="5" t="s">
        <v>16</v>
      </c>
      <c r="C5" s="5" t="s">
        <v>17</v>
      </c>
      <c r="D5" s="5">
        <v>25</v>
      </c>
      <c r="E5" s="6">
        <v>46071</v>
      </c>
      <c r="F5" s="6" t="str">
        <f t="shared" si="0"/>
        <v>Feb</v>
      </c>
      <c r="G5" s="6">
        <v>46095</v>
      </c>
      <c r="H5" s="7">
        <v>0</v>
      </c>
      <c r="I5" t="str">
        <f t="shared" si="1"/>
        <v>Not Started</v>
      </c>
      <c r="J5" t="str">
        <f t="shared" ca="1" si="2"/>
        <v>Close to end</v>
      </c>
    </row>
    <row r="6" spans="1:12" x14ac:dyDescent="0.5">
      <c r="A6" s="5" t="s">
        <v>18</v>
      </c>
      <c r="B6" s="5" t="s">
        <v>19</v>
      </c>
      <c r="C6" s="5" t="s">
        <v>20</v>
      </c>
      <c r="D6" s="5">
        <v>18</v>
      </c>
      <c r="E6" s="6">
        <v>46024</v>
      </c>
      <c r="F6" s="6" t="str">
        <f t="shared" si="0"/>
        <v>Jan</v>
      </c>
      <c r="G6" s="6">
        <v>46042</v>
      </c>
      <c r="H6" s="7">
        <v>1</v>
      </c>
      <c r="I6" t="str">
        <f t="shared" si="1"/>
        <v>Completed</v>
      </c>
      <c r="J6" t="str">
        <f t="shared" ca="1" si="2"/>
        <v>Okay</v>
      </c>
    </row>
    <row r="7" spans="1:12" x14ac:dyDescent="0.5">
      <c r="A7" s="5" t="s">
        <v>18</v>
      </c>
      <c r="B7" s="5" t="s">
        <v>21</v>
      </c>
      <c r="C7" s="5" t="s">
        <v>22</v>
      </c>
      <c r="D7" s="5">
        <v>10</v>
      </c>
      <c r="E7" s="6">
        <v>46042</v>
      </c>
      <c r="F7" s="6" t="str">
        <f t="shared" si="0"/>
        <v>Jan</v>
      </c>
      <c r="G7" s="6">
        <v>46052</v>
      </c>
      <c r="H7" s="7">
        <v>0.78</v>
      </c>
      <c r="I7" t="str">
        <f t="shared" si="1"/>
        <v>Pending</v>
      </c>
      <c r="J7" t="str">
        <f t="shared" ca="1" si="2"/>
        <v>Okay</v>
      </c>
    </row>
    <row r="8" spans="1:12" x14ac:dyDescent="0.5">
      <c r="A8" s="5" t="s">
        <v>18</v>
      </c>
      <c r="B8" s="5" t="s">
        <v>23</v>
      </c>
      <c r="C8" s="5" t="s">
        <v>24</v>
      </c>
      <c r="D8" s="5">
        <v>25</v>
      </c>
      <c r="E8" s="6">
        <v>46057</v>
      </c>
      <c r="F8" s="6" t="str">
        <f t="shared" si="0"/>
        <v>Feb</v>
      </c>
      <c r="G8" s="15" t="str">
        <f>TEXT("28/02/2026","dd-mm-yyyy")</f>
        <v>28-02-2026</v>
      </c>
      <c r="H8" s="7">
        <v>0</v>
      </c>
      <c r="I8" t="str">
        <f t="shared" si="1"/>
        <v>Not Started</v>
      </c>
      <c r="J8" t="str">
        <f t="shared" ca="1" si="2"/>
        <v>Okay</v>
      </c>
    </row>
    <row r="9" spans="1:12" x14ac:dyDescent="0.5">
      <c r="A9" s="5" t="s">
        <v>25</v>
      </c>
      <c r="B9" s="5" t="s">
        <v>26</v>
      </c>
      <c r="C9" s="5" t="s">
        <v>27</v>
      </c>
      <c r="D9" s="5">
        <v>22</v>
      </c>
      <c r="E9" s="6">
        <v>46054</v>
      </c>
      <c r="F9" s="6" t="str">
        <f t="shared" si="0"/>
        <v>Feb</v>
      </c>
      <c r="G9" s="6">
        <v>46076</v>
      </c>
      <c r="H9" s="7">
        <v>1</v>
      </c>
      <c r="I9" t="str">
        <f t="shared" si="1"/>
        <v>Completed</v>
      </c>
      <c r="J9" t="str">
        <f t="shared" ca="1" si="2"/>
        <v>Okay</v>
      </c>
    </row>
    <row r="10" spans="1:12" x14ac:dyDescent="0.5">
      <c r="A10" s="5" t="s">
        <v>25</v>
      </c>
      <c r="B10" s="5" t="s">
        <v>28</v>
      </c>
      <c r="C10" s="5" t="s">
        <v>29</v>
      </c>
      <c r="D10" s="5">
        <v>25</v>
      </c>
      <c r="E10" s="6">
        <v>46077</v>
      </c>
      <c r="F10" s="6" t="str">
        <f t="shared" si="0"/>
        <v>Feb</v>
      </c>
      <c r="G10" s="6">
        <v>46101</v>
      </c>
      <c r="H10" s="7">
        <v>1</v>
      </c>
      <c r="I10" t="str">
        <f t="shared" si="1"/>
        <v>Completed</v>
      </c>
      <c r="J10" t="str">
        <f t="shared" ca="1" si="2"/>
        <v>Okay</v>
      </c>
    </row>
    <row r="11" spans="1:12" x14ac:dyDescent="0.5">
      <c r="A11" s="5" t="s">
        <v>25</v>
      </c>
      <c r="B11" s="5" t="s">
        <v>30</v>
      </c>
      <c r="C11" s="5" t="s">
        <v>31</v>
      </c>
      <c r="D11" s="5">
        <v>30</v>
      </c>
      <c r="E11" s="6">
        <v>46102</v>
      </c>
      <c r="F11" s="6" t="str">
        <f t="shared" si="0"/>
        <v>Mar</v>
      </c>
      <c r="G11" s="6">
        <v>46132</v>
      </c>
      <c r="H11" s="7">
        <v>0</v>
      </c>
      <c r="I11" t="str">
        <f t="shared" si="1"/>
        <v>Not Started</v>
      </c>
      <c r="J11" t="str">
        <f t="shared" ca="1" si="2"/>
        <v>Close to end</v>
      </c>
    </row>
    <row r="12" spans="1:12" x14ac:dyDescent="0.5">
      <c r="A12" s="5" t="s">
        <v>32</v>
      </c>
      <c r="B12" s="5" t="s">
        <v>33</v>
      </c>
      <c r="C12" s="5" t="s">
        <v>122</v>
      </c>
      <c r="D12" s="5">
        <v>22</v>
      </c>
      <c r="E12" s="6">
        <v>46055</v>
      </c>
      <c r="F12" s="6" t="str">
        <f t="shared" si="0"/>
        <v>Feb</v>
      </c>
      <c r="G12" s="6">
        <v>46077</v>
      </c>
      <c r="H12" s="7">
        <v>0.1</v>
      </c>
      <c r="I12" t="str">
        <f t="shared" si="1"/>
        <v>Pending</v>
      </c>
      <c r="J12" t="str">
        <f t="shared" ca="1" si="2"/>
        <v>Okay</v>
      </c>
    </row>
    <row r="13" spans="1:12" x14ac:dyDescent="0.5">
      <c r="A13" s="5" t="s">
        <v>32</v>
      </c>
      <c r="B13" s="5" t="s">
        <v>35</v>
      </c>
      <c r="C13" s="5" t="s">
        <v>36</v>
      </c>
      <c r="D13" s="5">
        <v>21</v>
      </c>
      <c r="E13" s="6">
        <v>46066</v>
      </c>
      <c r="F13" s="6" t="str">
        <f t="shared" si="0"/>
        <v>Feb</v>
      </c>
      <c r="G13" s="6">
        <v>46086</v>
      </c>
      <c r="H13" s="7">
        <v>0.78</v>
      </c>
      <c r="I13" t="str">
        <f t="shared" si="1"/>
        <v>Pending</v>
      </c>
      <c r="J13" t="str">
        <f t="shared" ca="1" si="2"/>
        <v>Okay</v>
      </c>
    </row>
    <row r="14" spans="1:12" x14ac:dyDescent="0.5">
      <c r="A14" s="5" t="s">
        <v>32</v>
      </c>
      <c r="B14" s="5" t="s">
        <v>37</v>
      </c>
      <c r="C14" s="5" t="s">
        <v>36</v>
      </c>
      <c r="D14" s="5">
        <v>25</v>
      </c>
      <c r="E14" s="6">
        <v>46100</v>
      </c>
      <c r="F14" s="6" t="str">
        <f t="shared" si="0"/>
        <v>Mar</v>
      </c>
      <c r="G14" s="6">
        <v>46125</v>
      </c>
      <c r="H14" s="7">
        <v>1</v>
      </c>
      <c r="I14" t="str">
        <f t="shared" si="1"/>
        <v>Completed</v>
      </c>
      <c r="J14" t="str">
        <f t="shared" ca="1" si="2"/>
        <v>Okay</v>
      </c>
    </row>
    <row r="15" spans="1:12" x14ac:dyDescent="0.5">
      <c r="A15" s="5" t="s">
        <v>38</v>
      </c>
      <c r="B15" s="5" t="s">
        <v>39</v>
      </c>
      <c r="C15" s="5" t="s">
        <v>40</v>
      </c>
      <c r="D15" s="5">
        <v>23</v>
      </c>
      <c r="E15" s="6">
        <v>46024</v>
      </c>
      <c r="F15" s="6" t="str">
        <f t="shared" si="0"/>
        <v>Jan</v>
      </c>
      <c r="G15" s="6">
        <v>46047</v>
      </c>
      <c r="H15" s="7">
        <v>0.5</v>
      </c>
      <c r="I15" t="str">
        <f t="shared" si="1"/>
        <v>Pending</v>
      </c>
      <c r="J15" t="str">
        <f t="shared" ca="1" si="2"/>
        <v>Okay</v>
      </c>
    </row>
    <row r="16" spans="1:12" x14ac:dyDescent="0.5">
      <c r="A16" s="5" t="s">
        <v>38</v>
      </c>
      <c r="B16" s="5" t="s">
        <v>41</v>
      </c>
      <c r="C16" s="5" t="s">
        <v>42</v>
      </c>
      <c r="D16" s="5">
        <v>32</v>
      </c>
      <c r="E16" s="6">
        <v>46048</v>
      </c>
      <c r="F16" s="6" t="str">
        <f t="shared" si="0"/>
        <v>Jan</v>
      </c>
      <c r="G16" s="6">
        <v>46080</v>
      </c>
      <c r="H16" s="7">
        <v>0</v>
      </c>
      <c r="I16" t="str">
        <f t="shared" si="1"/>
        <v>Not Started</v>
      </c>
      <c r="J16" t="str">
        <f t="shared" ca="1" si="2"/>
        <v>Okay</v>
      </c>
    </row>
    <row r="17" spans="1:10" x14ac:dyDescent="0.5">
      <c r="A17" s="5" t="s">
        <v>38</v>
      </c>
      <c r="B17" s="5" t="s">
        <v>43</v>
      </c>
      <c r="C17" s="5" t="s">
        <v>44</v>
      </c>
      <c r="D17" s="5">
        <v>27</v>
      </c>
      <c r="E17" s="6">
        <v>46081</v>
      </c>
      <c r="F17" s="6" t="str">
        <f t="shared" si="0"/>
        <v>Feb</v>
      </c>
      <c r="G17" s="6">
        <v>46107</v>
      </c>
      <c r="H17" s="7">
        <v>0</v>
      </c>
      <c r="I17" t="str">
        <f t="shared" si="1"/>
        <v>Not Started</v>
      </c>
      <c r="J17" t="str">
        <f t="shared" ca="1" si="2"/>
        <v>Close to end</v>
      </c>
    </row>
    <row r="18" spans="1:10" x14ac:dyDescent="0.5">
      <c r="A18" s="5" t="s">
        <v>45</v>
      </c>
      <c r="B18" s="5" t="s">
        <v>46</v>
      </c>
      <c r="C18" s="5" t="s">
        <v>47</v>
      </c>
      <c r="D18" s="5">
        <v>36</v>
      </c>
      <c r="E18" s="6">
        <v>46024</v>
      </c>
      <c r="F18" s="6" t="str">
        <f t="shared" si="0"/>
        <v>Jan</v>
      </c>
      <c r="G18" s="6">
        <v>46060</v>
      </c>
      <c r="H18" s="7">
        <v>1</v>
      </c>
      <c r="I18" t="str">
        <f t="shared" si="1"/>
        <v>Completed</v>
      </c>
      <c r="J18" t="str">
        <f t="shared" ca="1" si="2"/>
        <v>Okay</v>
      </c>
    </row>
    <row r="19" spans="1:10" x14ac:dyDescent="0.5">
      <c r="A19" s="5" t="s">
        <v>45</v>
      </c>
      <c r="B19" s="5" t="s">
        <v>48</v>
      </c>
      <c r="C19" s="5" t="s">
        <v>49</v>
      </c>
      <c r="D19" s="5">
        <v>34</v>
      </c>
      <c r="E19" s="6">
        <v>46061</v>
      </c>
      <c r="F19" s="6" t="str">
        <f t="shared" si="0"/>
        <v>Feb</v>
      </c>
      <c r="G19" s="6">
        <v>46094</v>
      </c>
      <c r="H19" s="7">
        <v>0</v>
      </c>
      <c r="I19" t="str">
        <f t="shared" si="1"/>
        <v>Not Started</v>
      </c>
      <c r="J19" t="str">
        <f t="shared" ca="1" si="2"/>
        <v>Close to end</v>
      </c>
    </row>
    <row r="20" spans="1:10" x14ac:dyDescent="0.5">
      <c r="A20" s="5" t="s">
        <v>45</v>
      </c>
      <c r="B20" s="5" t="s">
        <v>50</v>
      </c>
      <c r="C20" s="5" t="s">
        <v>51</v>
      </c>
      <c r="D20" s="5">
        <v>30</v>
      </c>
      <c r="E20" s="6">
        <v>46095</v>
      </c>
      <c r="F20" s="6" t="str">
        <f t="shared" si="0"/>
        <v>Mar</v>
      </c>
      <c r="G20" s="6">
        <v>46125</v>
      </c>
      <c r="H20" s="7">
        <v>0</v>
      </c>
      <c r="I20" t="str">
        <f t="shared" si="1"/>
        <v>Not Started</v>
      </c>
      <c r="J20" t="str">
        <f t="shared" ca="1" si="2"/>
        <v>Close to end</v>
      </c>
    </row>
    <row r="21" spans="1:10" x14ac:dyDescent="0.5">
      <c r="A21" s="5" t="s">
        <v>52</v>
      </c>
      <c r="B21" s="5" t="s">
        <v>53</v>
      </c>
      <c r="C21" s="5" t="s">
        <v>54</v>
      </c>
      <c r="D21" s="5">
        <v>47</v>
      </c>
      <c r="E21" s="6">
        <v>46025</v>
      </c>
      <c r="F21" s="6" t="str">
        <f t="shared" si="0"/>
        <v>Jan</v>
      </c>
      <c r="G21" s="6">
        <v>46072</v>
      </c>
      <c r="H21" s="7">
        <v>0.3</v>
      </c>
      <c r="I21" t="str">
        <f t="shared" si="1"/>
        <v>Pending</v>
      </c>
      <c r="J21" t="str">
        <f t="shared" ca="1" si="2"/>
        <v>Okay</v>
      </c>
    </row>
    <row r="22" spans="1:10" x14ac:dyDescent="0.5">
      <c r="A22" s="5" t="s">
        <v>52</v>
      </c>
      <c r="B22" s="5" t="s">
        <v>55</v>
      </c>
      <c r="C22" s="5" t="s">
        <v>56</v>
      </c>
      <c r="D22" s="5">
        <v>27</v>
      </c>
      <c r="E22" s="6">
        <v>46070</v>
      </c>
      <c r="F22" s="6" t="str">
        <f t="shared" si="0"/>
        <v>Feb</v>
      </c>
      <c r="G22" s="6">
        <v>46096</v>
      </c>
      <c r="H22" s="7">
        <v>0</v>
      </c>
      <c r="I22" t="str">
        <f t="shared" si="1"/>
        <v>Not Started</v>
      </c>
      <c r="J22" t="str">
        <f t="shared" ca="1" si="2"/>
        <v>Close to end</v>
      </c>
    </row>
    <row r="23" spans="1:10" x14ac:dyDescent="0.5">
      <c r="A23" s="5" t="s">
        <v>52</v>
      </c>
      <c r="B23" s="5" t="s">
        <v>57</v>
      </c>
      <c r="C23" s="5" t="s">
        <v>58</v>
      </c>
      <c r="D23" s="5">
        <v>22</v>
      </c>
      <c r="E23" s="6">
        <v>46095</v>
      </c>
      <c r="F23" s="6" t="str">
        <f t="shared" si="0"/>
        <v>Mar</v>
      </c>
      <c r="G23" s="6">
        <v>46117</v>
      </c>
      <c r="H23" s="7">
        <v>0</v>
      </c>
      <c r="I23" t="str">
        <f t="shared" si="1"/>
        <v>Not Started</v>
      </c>
      <c r="J23" t="str">
        <f t="shared" ca="1" si="2"/>
        <v>Close to end</v>
      </c>
    </row>
    <row r="24" spans="1:10" x14ac:dyDescent="0.5">
      <c r="A24" s="5" t="s">
        <v>59</v>
      </c>
      <c r="B24" s="5" t="s">
        <v>60</v>
      </c>
      <c r="C24" s="5" t="s">
        <v>61</v>
      </c>
      <c r="D24" s="5">
        <v>60</v>
      </c>
      <c r="E24" s="6">
        <v>46025</v>
      </c>
      <c r="F24" s="6" t="str">
        <f t="shared" si="0"/>
        <v>Jan</v>
      </c>
      <c r="G24" s="6">
        <v>46084</v>
      </c>
      <c r="H24" s="7">
        <v>0.7</v>
      </c>
      <c r="I24" t="str">
        <f t="shared" si="1"/>
        <v>Pending</v>
      </c>
      <c r="J24" t="str">
        <f t="shared" ca="1" si="2"/>
        <v>Okay</v>
      </c>
    </row>
    <row r="25" spans="1:10" x14ac:dyDescent="0.5">
      <c r="A25" s="5" t="s">
        <v>59</v>
      </c>
      <c r="B25" s="5" t="s">
        <v>62</v>
      </c>
      <c r="C25" s="5" t="s">
        <v>63</v>
      </c>
      <c r="D25" s="5">
        <v>20</v>
      </c>
      <c r="E25" s="6">
        <v>46028</v>
      </c>
      <c r="F25" s="6" t="str">
        <f t="shared" si="0"/>
        <v>Jan</v>
      </c>
      <c r="G25" s="6">
        <v>46048</v>
      </c>
      <c r="H25" s="7">
        <v>0.78</v>
      </c>
      <c r="I25" t="str">
        <f t="shared" si="1"/>
        <v>Pending</v>
      </c>
      <c r="J25" t="str">
        <f t="shared" ca="1" si="2"/>
        <v>Okay</v>
      </c>
    </row>
    <row r="26" spans="1:10" x14ac:dyDescent="0.5">
      <c r="A26" s="5" t="s">
        <v>59</v>
      </c>
      <c r="B26" s="5" t="s">
        <v>64</v>
      </c>
      <c r="C26" s="5" t="s">
        <v>65</v>
      </c>
      <c r="D26" s="5">
        <v>35</v>
      </c>
      <c r="E26" s="6">
        <v>46056</v>
      </c>
      <c r="F26" s="6" t="str">
        <f t="shared" si="0"/>
        <v>Feb</v>
      </c>
      <c r="G26" s="6">
        <v>46090</v>
      </c>
      <c r="H26" s="7">
        <v>0</v>
      </c>
      <c r="I26" t="str">
        <f t="shared" si="1"/>
        <v>Not Started</v>
      </c>
      <c r="J26" t="str">
        <f t="shared" ca="1" si="2"/>
        <v>Close to end</v>
      </c>
    </row>
    <row r="27" spans="1:10" x14ac:dyDescent="0.5">
      <c r="A27" s="5" t="s">
        <v>66</v>
      </c>
      <c r="B27" s="5" t="s">
        <v>67</v>
      </c>
      <c r="C27" s="5" t="s">
        <v>68</v>
      </c>
      <c r="D27" s="5">
        <v>25</v>
      </c>
      <c r="E27" s="6">
        <v>46023</v>
      </c>
      <c r="F27" s="6" t="str">
        <f t="shared" si="0"/>
        <v>Jan</v>
      </c>
      <c r="G27" s="6">
        <v>46048</v>
      </c>
      <c r="H27" s="7">
        <v>1</v>
      </c>
      <c r="I27" t="str">
        <f t="shared" si="1"/>
        <v>Completed</v>
      </c>
      <c r="J27" t="str">
        <f t="shared" ca="1" si="2"/>
        <v>Okay</v>
      </c>
    </row>
    <row r="28" spans="1:10" x14ac:dyDescent="0.5">
      <c r="A28" s="5" t="s">
        <v>66</v>
      </c>
      <c r="B28" s="5" t="s">
        <v>69</v>
      </c>
      <c r="C28" s="5" t="s">
        <v>70</v>
      </c>
      <c r="D28" s="5">
        <v>31</v>
      </c>
      <c r="E28" s="6">
        <v>46049</v>
      </c>
      <c r="F28" s="6" t="str">
        <f t="shared" si="0"/>
        <v>Jan</v>
      </c>
      <c r="G28" s="6">
        <v>46080</v>
      </c>
      <c r="H28" s="7">
        <v>1</v>
      </c>
      <c r="I28" t="str">
        <f t="shared" si="1"/>
        <v>Completed</v>
      </c>
      <c r="J28" t="str">
        <f t="shared" ca="1" si="2"/>
        <v>Okay</v>
      </c>
    </row>
    <row r="29" spans="1:10" x14ac:dyDescent="0.5">
      <c r="A29" s="5" t="s">
        <v>66</v>
      </c>
      <c r="B29" s="5" t="s">
        <v>71</v>
      </c>
      <c r="C29" s="5" t="s">
        <v>72</v>
      </c>
      <c r="D29" s="5">
        <v>22</v>
      </c>
      <c r="E29" s="6">
        <v>46083</v>
      </c>
      <c r="F29" s="6" t="str">
        <f t="shared" si="0"/>
        <v>Mar</v>
      </c>
      <c r="G29" s="6">
        <v>46105</v>
      </c>
      <c r="H29" s="7">
        <v>0</v>
      </c>
      <c r="I29" t="str">
        <f t="shared" si="1"/>
        <v>Not Started</v>
      </c>
      <c r="J29" t="str">
        <f t="shared" ca="1" si="2"/>
        <v>Close to end</v>
      </c>
    </row>
    <row r="30" spans="1:10" x14ac:dyDescent="0.5">
      <c r="A30" s="5" t="s">
        <v>73</v>
      </c>
      <c r="B30" s="5" t="s">
        <v>74</v>
      </c>
      <c r="C30" s="5" t="s">
        <v>75</v>
      </c>
      <c r="D30" s="5">
        <v>30</v>
      </c>
      <c r="E30" s="6">
        <v>46025</v>
      </c>
      <c r="F30" s="6" t="str">
        <f t="shared" si="0"/>
        <v>Jan</v>
      </c>
      <c r="G30" s="6">
        <v>46055</v>
      </c>
      <c r="H30" s="7">
        <v>0.4</v>
      </c>
      <c r="I30" t="str">
        <f t="shared" si="1"/>
        <v>Pending</v>
      </c>
      <c r="J30" t="str">
        <f t="shared" ca="1" si="2"/>
        <v>Okay</v>
      </c>
    </row>
    <row r="31" spans="1:10" x14ac:dyDescent="0.5">
      <c r="A31" s="5" t="s">
        <v>73</v>
      </c>
      <c r="B31" s="5" t="s">
        <v>76</v>
      </c>
      <c r="C31" s="5" t="s">
        <v>77</v>
      </c>
      <c r="D31" s="5">
        <v>25</v>
      </c>
      <c r="E31" s="6">
        <v>46056</v>
      </c>
      <c r="F31" s="6" t="str">
        <f t="shared" si="0"/>
        <v>Feb</v>
      </c>
      <c r="G31" s="6">
        <v>46081</v>
      </c>
      <c r="H31" s="7">
        <v>0</v>
      </c>
      <c r="I31" t="str">
        <f t="shared" si="1"/>
        <v>Not Started</v>
      </c>
      <c r="J31" t="str">
        <f t="shared" ca="1" si="2"/>
        <v>Okay</v>
      </c>
    </row>
    <row r="32" spans="1:10" x14ac:dyDescent="0.5">
      <c r="A32" s="5" t="s">
        <v>73</v>
      </c>
      <c r="B32" s="5" t="s">
        <v>78</v>
      </c>
      <c r="C32" s="5" t="s">
        <v>79</v>
      </c>
      <c r="D32" s="5">
        <v>20</v>
      </c>
      <c r="E32" s="17" t="s">
        <v>121</v>
      </c>
      <c r="F32" s="6" t="s">
        <v>130</v>
      </c>
      <c r="G32" s="6">
        <v>46101</v>
      </c>
      <c r="H32" s="7">
        <v>0</v>
      </c>
      <c r="I32" t="str">
        <f t="shared" si="1"/>
        <v>Not Started</v>
      </c>
      <c r="J32" t="str">
        <f t="shared" ca="1" si="2"/>
        <v>Close to end</v>
      </c>
    </row>
    <row r="33" spans="1:11" x14ac:dyDescent="0.5">
      <c r="A33" s="5" t="s">
        <v>80</v>
      </c>
      <c r="B33" s="5" t="s">
        <v>81</v>
      </c>
      <c r="C33" s="5" t="s">
        <v>22</v>
      </c>
      <c r="D33" s="5">
        <v>35</v>
      </c>
      <c r="E33" s="6">
        <v>46024</v>
      </c>
      <c r="F33" s="6" t="str">
        <f t="shared" si="0"/>
        <v>Jan</v>
      </c>
      <c r="G33" s="6">
        <v>46059</v>
      </c>
      <c r="H33" s="7">
        <v>0.6</v>
      </c>
      <c r="I33" t="str">
        <f t="shared" si="1"/>
        <v>Pending</v>
      </c>
      <c r="J33" t="str">
        <f t="shared" ca="1" si="2"/>
        <v>Okay</v>
      </c>
    </row>
    <row r="34" spans="1:11" x14ac:dyDescent="0.5">
      <c r="A34" s="5" t="s">
        <v>80</v>
      </c>
      <c r="B34" s="5" t="s">
        <v>82</v>
      </c>
      <c r="C34" s="5" t="s">
        <v>83</v>
      </c>
      <c r="D34" s="5">
        <v>32</v>
      </c>
      <c r="E34" s="6">
        <v>46055</v>
      </c>
      <c r="F34" s="6" t="str">
        <f t="shared" si="0"/>
        <v>Feb</v>
      </c>
      <c r="G34" s="6">
        <v>46086</v>
      </c>
      <c r="H34" s="7">
        <v>0</v>
      </c>
      <c r="I34" t="str">
        <f t="shared" si="1"/>
        <v>Not Started</v>
      </c>
      <c r="J34" t="str">
        <f t="shared" ca="1" si="2"/>
        <v>Close to end</v>
      </c>
      <c r="K34" s="13"/>
    </row>
    <row r="35" spans="1:11" x14ac:dyDescent="0.5">
      <c r="A35" s="5" t="s">
        <v>80</v>
      </c>
      <c r="B35" s="5" t="s">
        <v>84</v>
      </c>
      <c r="C35" s="5" t="s">
        <v>85</v>
      </c>
      <c r="D35" s="5">
        <v>25</v>
      </c>
      <c r="E35" s="6">
        <v>46087</v>
      </c>
      <c r="F35" s="6" t="str">
        <f t="shared" si="0"/>
        <v>Mar</v>
      </c>
      <c r="G35" s="6">
        <v>46112</v>
      </c>
      <c r="H35" s="7">
        <v>0</v>
      </c>
      <c r="I35" t="str">
        <f t="shared" si="1"/>
        <v>Not Started</v>
      </c>
      <c r="J35" t="str">
        <f t="shared" ca="1" si="2"/>
        <v>Close to end</v>
      </c>
    </row>
    <row r="36" spans="1:11" x14ac:dyDescent="0.5">
      <c r="A36" s="5" t="s">
        <v>86</v>
      </c>
      <c r="B36" s="5" t="s">
        <v>87</v>
      </c>
      <c r="C36" s="5" t="s">
        <v>88</v>
      </c>
      <c r="D36" s="5">
        <v>27</v>
      </c>
      <c r="E36" s="6">
        <v>46026</v>
      </c>
      <c r="F36" s="6" t="str">
        <f t="shared" si="0"/>
        <v>Jan</v>
      </c>
      <c r="G36" s="6">
        <v>46053</v>
      </c>
      <c r="H36" s="7">
        <v>0.8</v>
      </c>
      <c r="I36" t="str">
        <f t="shared" si="1"/>
        <v>Pending</v>
      </c>
      <c r="J36" t="str">
        <f t="shared" ca="1" si="2"/>
        <v>Okay</v>
      </c>
    </row>
    <row r="37" spans="1:11" x14ac:dyDescent="0.5">
      <c r="A37" s="5" t="s">
        <v>86</v>
      </c>
      <c r="B37" s="5" t="s">
        <v>89</v>
      </c>
      <c r="C37" s="5" t="s">
        <v>90</v>
      </c>
      <c r="D37" s="5">
        <v>30</v>
      </c>
      <c r="E37" s="6">
        <v>46050</v>
      </c>
      <c r="F37" s="6" t="str">
        <f t="shared" si="0"/>
        <v>Jan</v>
      </c>
      <c r="G37" s="6">
        <v>46080</v>
      </c>
      <c r="H37" s="7">
        <v>0</v>
      </c>
      <c r="I37" t="str">
        <f t="shared" si="1"/>
        <v>Not Started</v>
      </c>
      <c r="J37" t="str">
        <f t="shared" ca="1" si="2"/>
        <v>Okay</v>
      </c>
    </row>
    <row r="38" spans="1:11" x14ac:dyDescent="0.5">
      <c r="A38" s="5" t="s">
        <v>86</v>
      </c>
      <c r="B38" s="5" t="s">
        <v>91</v>
      </c>
      <c r="C38" s="5" t="s">
        <v>92</v>
      </c>
      <c r="D38" s="5">
        <v>22</v>
      </c>
      <c r="E38" s="6">
        <v>46081</v>
      </c>
      <c r="F38" s="6" t="str">
        <f t="shared" si="0"/>
        <v>Feb</v>
      </c>
      <c r="G38" s="6">
        <v>46102</v>
      </c>
      <c r="H38" s="7">
        <v>0</v>
      </c>
      <c r="I38" t="str">
        <f t="shared" si="1"/>
        <v>Not Started</v>
      </c>
      <c r="J38" t="str">
        <f t="shared" ca="1" si="2"/>
        <v>Close to end</v>
      </c>
    </row>
    <row r="39" spans="1:11" x14ac:dyDescent="0.5">
      <c r="A39" s="5" t="s">
        <v>93</v>
      </c>
      <c r="B39" s="5" t="s">
        <v>94</v>
      </c>
      <c r="C39" s="5" t="s">
        <v>95</v>
      </c>
      <c r="D39" s="5">
        <v>25</v>
      </c>
      <c r="E39" s="6">
        <v>46025</v>
      </c>
      <c r="F39" s="6" t="str">
        <f t="shared" si="0"/>
        <v>Jan</v>
      </c>
      <c r="G39" s="6">
        <v>46050</v>
      </c>
      <c r="H39" s="7">
        <v>0.3</v>
      </c>
      <c r="I39" t="str">
        <f t="shared" si="1"/>
        <v>Pending</v>
      </c>
      <c r="J39" t="str">
        <f t="shared" ca="1" si="2"/>
        <v>Okay</v>
      </c>
    </row>
    <row r="40" spans="1:11" x14ac:dyDescent="0.5">
      <c r="A40" s="5" t="s">
        <v>93</v>
      </c>
      <c r="B40" s="5" t="s">
        <v>96</v>
      </c>
      <c r="C40" s="5" t="s">
        <v>97</v>
      </c>
      <c r="D40" s="5">
        <v>20</v>
      </c>
      <c r="E40" s="6">
        <v>46056</v>
      </c>
      <c r="F40" s="6" t="str">
        <f t="shared" si="0"/>
        <v>Feb</v>
      </c>
      <c r="G40" s="6">
        <v>46076</v>
      </c>
      <c r="H40" s="7">
        <v>0</v>
      </c>
      <c r="I40" t="str">
        <f t="shared" si="1"/>
        <v>Not Started</v>
      </c>
      <c r="J40" t="str">
        <f t="shared" ca="1" si="2"/>
        <v>Okay</v>
      </c>
    </row>
    <row r="41" spans="1:11" x14ac:dyDescent="0.5">
      <c r="A41" s="5" t="s">
        <v>93</v>
      </c>
      <c r="B41" s="5" t="s">
        <v>98</v>
      </c>
      <c r="C41" s="5" t="s">
        <v>112</v>
      </c>
      <c r="D41" s="5">
        <v>35</v>
      </c>
      <c r="E41" s="6">
        <v>46077</v>
      </c>
      <c r="F41" s="6" t="str">
        <f t="shared" si="0"/>
        <v>Feb</v>
      </c>
      <c r="G41" s="6">
        <v>46111</v>
      </c>
      <c r="H41" s="7">
        <v>0</v>
      </c>
      <c r="I41" t="str">
        <f t="shared" si="1"/>
        <v>Not Started</v>
      </c>
      <c r="J41" t="str">
        <f t="shared" ca="1" si="2"/>
        <v>Close to end</v>
      </c>
    </row>
    <row r="42" spans="1:11" x14ac:dyDescent="0.5">
      <c r="A42" s="5" t="s">
        <v>100</v>
      </c>
      <c r="B42" s="5" t="s">
        <v>101</v>
      </c>
      <c r="C42" s="5" t="s">
        <v>102</v>
      </c>
      <c r="D42" s="5">
        <v>25</v>
      </c>
      <c r="E42" s="6">
        <v>46025</v>
      </c>
      <c r="F42" s="6" t="str">
        <f t="shared" si="0"/>
        <v>Jan</v>
      </c>
      <c r="G42" s="6">
        <v>46050</v>
      </c>
      <c r="H42" s="7">
        <v>0.5</v>
      </c>
      <c r="I42" t="str">
        <f t="shared" si="1"/>
        <v>Pending</v>
      </c>
      <c r="J42" t="str">
        <f t="shared" ca="1" si="2"/>
        <v>Okay</v>
      </c>
    </row>
    <row r="43" spans="1:11" x14ac:dyDescent="0.5">
      <c r="A43" s="5" t="s">
        <v>100</v>
      </c>
      <c r="B43" s="5" t="s">
        <v>103</v>
      </c>
      <c r="C43" s="5" t="s">
        <v>104</v>
      </c>
      <c r="D43" s="5">
        <v>30</v>
      </c>
      <c r="E43" s="6">
        <v>46051</v>
      </c>
      <c r="F43" s="6" t="str">
        <f t="shared" si="0"/>
        <v>Jan</v>
      </c>
      <c r="G43" s="6">
        <v>46081</v>
      </c>
      <c r="H43" s="7">
        <v>1</v>
      </c>
      <c r="I43" t="str">
        <f t="shared" si="1"/>
        <v>Completed</v>
      </c>
      <c r="J43" t="str">
        <f t="shared" ca="1" si="2"/>
        <v>Okay</v>
      </c>
    </row>
    <row r="44" spans="1:11" x14ac:dyDescent="0.5">
      <c r="A44" s="5" t="s">
        <v>100</v>
      </c>
      <c r="B44" s="5" t="s">
        <v>105</v>
      </c>
      <c r="C44" s="5" t="s">
        <v>106</v>
      </c>
      <c r="D44" s="5">
        <v>20</v>
      </c>
      <c r="E44" s="6">
        <v>46110</v>
      </c>
      <c r="F44" s="6" t="str">
        <f t="shared" si="0"/>
        <v>Mar</v>
      </c>
      <c r="G44" s="6">
        <v>46130</v>
      </c>
      <c r="H44" s="7">
        <v>0</v>
      </c>
      <c r="I44" t="str">
        <f t="shared" si="1"/>
        <v>Not Started</v>
      </c>
      <c r="J44" t="str">
        <f t="shared" ca="1" si="2"/>
        <v>Close to end</v>
      </c>
    </row>
    <row r="45" spans="1:11" x14ac:dyDescent="0.5">
      <c r="A45" s="5" t="s">
        <v>107</v>
      </c>
      <c r="B45" s="5" t="s">
        <v>108</v>
      </c>
      <c r="C45" s="5" t="s">
        <v>49</v>
      </c>
      <c r="D45" s="5">
        <v>25</v>
      </c>
      <c r="E45" s="6">
        <v>46024</v>
      </c>
      <c r="F45" s="6" t="str">
        <f t="shared" si="0"/>
        <v>Jan</v>
      </c>
      <c r="G45" s="6">
        <v>46049</v>
      </c>
      <c r="H45" s="7">
        <v>0.2</v>
      </c>
      <c r="I45" t="str">
        <f t="shared" si="1"/>
        <v>Pending</v>
      </c>
      <c r="J45" t="str">
        <f t="shared" ca="1" si="2"/>
        <v>Okay</v>
      </c>
    </row>
    <row r="46" spans="1:11" x14ac:dyDescent="0.5">
      <c r="A46" s="5" t="s">
        <v>107</v>
      </c>
      <c r="B46" s="5" t="s">
        <v>109</v>
      </c>
      <c r="C46" s="5" t="s">
        <v>51</v>
      </c>
      <c r="D46" s="5">
        <v>22</v>
      </c>
      <c r="E46" s="6">
        <v>46055</v>
      </c>
      <c r="F46" s="6" t="str">
        <f t="shared" si="0"/>
        <v>Feb</v>
      </c>
      <c r="G46" s="6">
        <v>46077</v>
      </c>
      <c r="H46" s="7">
        <v>0</v>
      </c>
      <c r="I46" t="str">
        <f t="shared" si="1"/>
        <v>Not Started</v>
      </c>
      <c r="J46" t="str">
        <f t="shared" ca="1" si="2"/>
        <v>Okay</v>
      </c>
    </row>
    <row r="47" spans="1:11" x14ac:dyDescent="0.5">
      <c r="A47" s="5" t="s">
        <v>107</v>
      </c>
      <c r="B47" s="5" t="s">
        <v>110</v>
      </c>
      <c r="C47" s="5" t="s">
        <v>111</v>
      </c>
      <c r="D47" s="5">
        <v>27</v>
      </c>
      <c r="E47" s="14">
        <v>46076</v>
      </c>
      <c r="F47" s="6" t="str">
        <f t="shared" si="0"/>
        <v>Feb</v>
      </c>
      <c r="G47" s="14">
        <v>46102</v>
      </c>
      <c r="H47" s="7">
        <v>0</v>
      </c>
      <c r="I47" t="str">
        <f t="shared" si="1"/>
        <v>Not Started</v>
      </c>
      <c r="J47" t="str">
        <f t="shared" ca="1" si="2"/>
        <v>Close to end</v>
      </c>
    </row>
  </sheetData>
  <autoFilter ref="A1:I47" xr:uid="{687ACF65-EEAF-4B36-B9E5-CF4068AB434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871E-2794-48AD-BCA7-C519559930F5}">
  <dimension ref="A3:D91"/>
  <sheetViews>
    <sheetView topLeftCell="A55" workbookViewId="0">
      <selection activeCell="B56" sqref="A49:D65"/>
    </sheetView>
  </sheetViews>
  <sheetFormatPr defaultRowHeight="18" x14ac:dyDescent="0.5"/>
  <cols>
    <col min="1" max="1" width="26" bestFit="1" customWidth="1"/>
    <col min="2" max="2" width="17.6640625" bestFit="1" customWidth="1"/>
    <col min="3" max="3" width="12.33203125" bestFit="1" customWidth="1"/>
    <col min="4" max="4" width="8.77734375" bestFit="1" customWidth="1"/>
    <col min="5" max="5" width="12.77734375" bestFit="1" customWidth="1"/>
    <col min="6" max="6" width="3.21875" customWidth="1"/>
    <col min="7" max="9" width="3.21875" bestFit="1" customWidth="1"/>
    <col min="10" max="10" width="11.21875" bestFit="1" customWidth="1"/>
    <col min="11" max="11" width="10.44140625" bestFit="1" customWidth="1"/>
    <col min="12" max="12" width="10.5546875" bestFit="1" customWidth="1"/>
    <col min="13" max="13" width="10.44140625" bestFit="1" customWidth="1"/>
    <col min="14" max="14" width="10.5546875" bestFit="1" customWidth="1"/>
    <col min="15" max="15" width="10.44140625" bestFit="1" customWidth="1"/>
    <col min="16" max="16" width="10.5546875" bestFit="1" customWidth="1"/>
    <col min="17" max="17" width="10.44140625" bestFit="1" customWidth="1"/>
    <col min="18" max="18" width="10.5546875" bestFit="1" customWidth="1"/>
    <col min="19" max="20" width="10.44140625" bestFit="1" customWidth="1"/>
    <col min="21" max="21" width="10.5546875" bestFit="1" customWidth="1"/>
    <col min="22" max="22" width="10.44140625" bestFit="1" customWidth="1"/>
    <col min="23" max="23" width="10.5546875" bestFit="1" customWidth="1"/>
    <col min="24" max="26" width="10.44140625" bestFit="1" customWidth="1"/>
    <col min="27" max="28" width="10.5546875" bestFit="1" customWidth="1"/>
    <col min="29" max="30" width="10.44140625" bestFit="1" customWidth="1"/>
    <col min="31" max="32" width="10.5546875" bestFit="1" customWidth="1"/>
    <col min="33" max="33" width="10.6640625" bestFit="1" customWidth="1"/>
    <col min="34" max="34" width="10.5546875" bestFit="1" customWidth="1"/>
    <col min="35" max="35" width="11.21875" bestFit="1" customWidth="1"/>
  </cols>
  <sheetData>
    <row r="3" spans="1:2" x14ac:dyDescent="0.5">
      <c r="A3" s="9" t="s">
        <v>115</v>
      </c>
      <c r="B3" s="9" t="s">
        <v>116</v>
      </c>
    </row>
    <row r="4" spans="1:2" x14ac:dyDescent="0.5">
      <c r="A4" s="9" t="s">
        <v>114</v>
      </c>
      <c r="B4" t="s">
        <v>117</v>
      </c>
    </row>
    <row r="5" spans="1:2" x14ac:dyDescent="0.5">
      <c r="A5" s="10" t="s">
        <v>25</v>
      </c>
      <c r="B5" s="11">
        <v>0.22222222222222221</v>
      </c>
    </row>
    <row r="6" spans="1:2" x14ac:dyDescent="0.5">
      <c r="A6" s="10" t="s">
        <v>45</v>
      </c>
      <c r="B6" s="11">
        <v>0.1111111111111111</v>
      </c>
    </row>
    <row r="7" spans="1:2" x14ac:dyDescent="0.5">
      <c r="A7" s="10" t="s">
        <v>32</v>
      </c>
      <c r="B7" s="11">
        <v>0.1111111111111111</v>
      </c>
    </row>
    <row r="8" spans="1:2" x14ac:dyDescent="0.5">
      <c r="A8" s="10" t="s">
        <v>100</v>
      </c>
      <c r="B8" s="11">
        <v>0.1111111111111111</v>
      </c>
    </row>
    <row r="9" spans="1:2" x14ac:dyDescent="0.5">
      <c r="A9" s="10" t="s">
        <v>9</v>
      </c>
      <c r="B9" s="11">
        <v>0.1111111111111111</v>
      </c>
    </row>
    <row r="10" spans="1:2" x14ac:dyDescent="0.5">
      <c r="A10" s="10" t="s">
        <v>18</v>
      </c>
      <c r="B10" s="11">
        <v>0.1111111111111111</v>
      </c>
    </row>
    <row r="11" spans="1:2" x14ac:dyDescent="0.5">
      <c r="A11" s="10" t="s">
        <v>66</v>
      </c>
      <c r="B11" s="11">
        <v>0.22222222222222221</v>
      </c>
    </row>
    <row r="13" spans="1:2" x14ac:dyDescent="0.5">
      <c r="A13" s="9" t="s">
        <v>114</v>
      </c>
      <c r="B13" t="s">
        <v>120</v>
      </c>
    </row>
    <row r="14" spans="1:2" x14ac:dyDescent="0.5">
      <c r="A14" s="10" t="s">
        <v>25</v>
      </c>
      <c r="B14" s="12">
        <v>1</v>
      </c>
    </row>
    <row r="15" spans="1:2" x14ac:dyDescent="0.5">
      <c r="A15" s="10" t="s">
        <v>45</v>
      </c>
      <c r="B15" s="12">
        <v>1</v>
      </c>
    </row>
    <row r="16" spans="1:2" x14ac:dyDescent="0.5">
      <c r="A16" s="10" t="s">
        <v>32</v>
      </c>
      <c r="B16" s="12">
        <v>1</v>
      </c>
    </row>
    <row r="17" spans="1:2" x14ac:dyDescent="0.5">
      <c r="A17" s="10" t="s">
        <v>100</v>
      </c>
      <c r="B17" s="12">
        <v>1</v>
      </c>
    </row>
    <row r="18" spans="1:2" x14ac:dyDescent="0.5">
      <c r="A18" s="10" t="s">
        <v>9</v>
      </c>
      <c r="B18" s="12">
        <v>1</v>
      </c>
    </row>
    <row r="19" spans="1:2" x14ac:dyDescent="0.5">
      <c r="A19" s="10" t="s">
        <v>18</v>
      </c>
      <c r="B19" s="12">
        <v>1</v>
      </c>
    </row>
    <row r="20" spans="1:2" x14ac:dyDescent="0.5">
      <c r="A20" s="10" t="s">
        <v>66</v>
      </c>
      <c r="B20" s="12">
        <v>1</v>
      </c>
    </row>
    <row r="32" spans="1:2" x14ac:dyDescent="0.5">
      <c r="A32" s="9" t="s">
        <v>114</v>
      </c>
      <c r="B32" t="s">
        <v>125</v>
      </c>
    </row>
    <row r="33" spans="1:2" x14ac:dyDescent="0.5">
      <c r="A33" s="10" t="s">
        <v>124</v>
      </c>
      <c r="B33" s="11">
        <v>0.34782608695652173</v>
      </c>
    </row>
    <row r="34" spans="1:2" x14ac:dyDescent="0.5">
      <c r="A34" s="10" t="s">
        <v>126</v>
      </c>
      <c r="B34" s="11">
        <v>0.65217391304347827</v>
      </c>
    </row>
    <row r="49" spans="1:4" x14ac:dyDescent="0.5">
      <c r="A49" s="9" t="s">
        <v>127</v>
      </c>
      <c r="B49" s="9" t="s">
        <v>116</v>
      </c>
    </row>
    <row r="50" spans="1:4" x14ac:dyDescent="0.5">
      <c r="A50" s="9" t="s">
        <v>114</v>
      </c>
      <c r="B50" t="s">
        <v>117</v>
      </c>
      <c r="C50" t="s">
        <v>128</v>
      </c>
      <c r="D50" t="s">
        <v>129</v>
      </c>
    </row>
    <row r="51" spans="1:4" x14ac:dyDescent="0.5">
      <c r="A51" s="10" t="s">
        <v>80</v>
      </c>
      <c r="B51" s="16"/>
      <c r="C51" s="16">
        <v>28.5</v>
      </c>
      <c r="D51" s="16">
        <v>35</v>
      </c>
    </row>
    <row r="52" spans="1:4" x14ac:dyDescent="0.5">
      <c r="A52" s="10" t="s">
        <v>25</v>
      </c>
      <c r="B52" s="16">
        <v>23.5</v>
      </c>
      <c r="C52" s="16">
        <v>30</v>
      </c>
      <c r="D52" s="16"/>
    </row>
    <row r="53" spans="1:4" x14ac:dyDescent="0.5">
      <c r="A53" s="10" t="s">
        <v>45</v>
      </c>
      <c r="B53" s="16">
        <v>36</v>
      </c>
      <c r="C53" s="16">
        <v>32</v>
      </c>
      <c r="D53" s="16"/>
    </row>
    <row r="54" spans="1:4" x14ac:dyDescent="0.5">
      <c r="A54" s="10" t="s">
        <v>107</v>
      </c>
      <c r="B54" s="16"/>
      <c r="C54" s="16">
        <v>24.5</v>
      </c>
      <c r="D54" s="16">
        <v>25</v>
      </c>
    </row>
    <row r="55" spans="1:4" x14ac:dyDescent="0.5">
      <c r="A55" s="10" t="s">
        <v>93</v>
      </c>
      <c r="B55" s="16"/>
      <c r="C55" s="16">
        <v>27.5</v>
      </c>
      <c r="D55" s="16">
        <v>25</v>
      </c>
    </row>
    <row r="56" spans="1:4" x14ac:dyDescent="0.5">
      <c r="A56" s="10" t="s">
        <v>32</v>
      </c>
      <c r="B56" s="16">
        <v>25</v>
      </c>
      <c r="C56" s="16"/>
      <c r="D56" s="16">
        <v>21.5</v>
      </c>
    </row>
    <row r="57" spans="1:4" x14ac:dyDescent="0.5">
      <c r="A57" s="10" t="s">
        <v>100</v>
      </c>
      <c r="B57" s="16">
        <v>30</v>
      </c>
      <c r="C57" s="16">
        <v>20</v>
      </c>
      <c r="D57" s="16">
        <v>25</v>
      </c>
    </row>
    <row r="58" spans="1:4" x14ac:dyDescent="0.5">
      <c r="A58" s="10" t="s">
        <v>9</v>
      </c>
      <c r="B58" s="16">
        <v>14</v>
      </c>
      <c r="C58" s="16">
        <v>25</v>
      </c>
      <c r="D58" s="16">
        <v>17.5</v>
      </c>
    </row>
    <row r="59" spans="1:4" x14ac:dyDescent="0.5">
      <c r="A59" s="10" t="s">
        <v>73</v>
      </c>
      <c r="B59" s="16"/>
      <c r="C59" s="16">
        <v>22.5</v>
      </c>
      <c r="D59" s="16">
        <v>30</v>
      </c>
    </row>
    <row r="60" spans="1:4" x14ac:dyDescent="0.5">
      <c r="A60" s="10" t="s">
        <v>18</v>
      </c>
      <c r="B60" s="16">
        <v>18</v>
      </c>
      <c r="C60" s="16">
        <v>25</v>
      </c>
      <c r="D60" s="16">
        <v>10</v>
      </c>
    </row>
    <row r="61" spans="1:4" x14ac:dyDescent="0.5">
      <c r="A61" s="10" t="s">
        <v>52</v>
      </c>
      <c r="B61" s="16"/>
      <c r="C61" s="16">
        <v>24.5</v>
      </c>
      <c r="D61" s="16">
        <v>47</v>
      </c>
    </row>
    <row r="62" spans="1:4" x14ac:dyDescent="0.5">
      <c r="A62" s="10" t="s">
        <v>38</v>
      </c>
      <c r="B62" s="16"/>
      <c r="C62" s="16">
        <v>29.5</v>
      </c>
      <c r="D62" s="16">
        <v>23</v>
      </c>
    </row>
    <row r="63" spans="1:4" x14ac:dyDescent="0.5">
      <c r="A63" s="10" t="s">
        <v>59</v>
      </c>
      <c r="B63" s="16"/>
      <c r="C63" s="16">
        <v>35</v>
      </c>
      <c r="D63" s="16">
        <v>40</v>
      </c>
    </row>
    <row r="64" spans="1:4" x14ac:dyDescent="0.5">
      <c r="A64" s="10" t="s">
        <v>66</v>
      </c>
      <c r="B64" s="16">
        <v>28</v>
      </c>
      <c r="C64" s="16">
        <v>22</v>
      </c>
      <c r="D64" s="16"/>
    </row>
    <row r="65" spans="1:4" x14ac:dyDescent="0.5">
      <c r="A65" s="10" t="s">
        <v>86</v>
      </c>
      <c r="B65" s="16"/>
      <c r="C65" s="16">
        <v>26</v>
      </c>
      <c r="D65" s="16">
        <v>27</v>
      </c>
    </row>
    <row r="69" spans="1:4" x14ac:dyDescent="0.5">
      <c r="A69" s="9" t="s">
        <v>114</v>
      </c>
      <c r="B69" t="s">
        <v>125</v>
      </c>
    </row>
    <row r="70" spans="1:4" x14ac:dyDescent="0.5">
      <c r="A70" s="10" t="s">
        <v>132</v>
      </c>
      <c r="B70" s="22">
        <v>21</v>
      </c>
    </row>
    <row r="71" spans="1:4" x14ac:dyDescent="0.5">
      <c r="A71" s="10" t="s">
        <v>130</v>
      </c>
      <c r="B71" s="22">
        <v>18</v>
      </c>
    </row>
    <row r="72" spans="1:4" x14ac:dyDescent="0.5">
      <c r="A72" s="10" t="s">
        <v>133</v>
      </c>
      <c r="B72" s="22">
        <v>7</v>
      </c>
    </row>
    <row r="73" spans="1:4" x14ac:dyDescent="0.5">
      <c r="A73" s="10" t="s">
        <v>119</v>
      </c>
      <c r="B73" s="22">
        <v>46</v>
      </c>
    </row>
    <row r="82" spans="1:2" x14ac:dyDescent="0.5">
      <c r="A82" s="9" t="s">
        <v>6</v>
      </c>
      <c r="B82" t="s">
        <v>134</v>
      </c>
    </row>
    <row r="84" spans="1:2" x14ac:dyDescent="0.5">
      <c r="A84" s="9" t="s">
        <v>114</v>
      </c>
      <c r="B84" t="s">
        <v>125</v>
      </c>
    </row>
    <row r="85" spans="1:2" x14ac:dyDescent="0.5">
      <c r="A85" s="18">
        <v>0</v>
      </c>
      <c r="B85" s="22">
        <v>8</v>
      </c>
    </row>
    <row r="86" spans="1:2" x14ac:dyDescent="0.5">
      <c r="A86" s="18">
        <v>0.3</v>
      </c>
      <c r="B86" s="22">
        <v>1</v>
      </c>
    </row>
    <row r="87" spans="1:2" x14ac:dyDescent="0.5">
      <c r="A87" s="18">
        <v>0.4</v>
      </c>
      <c r="B87" s="22">
        <v>1</v>
      </c>
    </row>
    <row r="88" spans="1:2" x14ac:dyDescent="0.5">
      <c r="A88" s="18">
        <v>0.6</v>
      </c>
      <c r="B88" s="22">
        <v>1</v>
      </c>
    </row>
    <row r="89" spans="1:2" x14ac:dyDescent="0.5">
      <c r="A89" s="18">
        <v>0.7</v>
      </c>
      <c r="B89" s="22">
        <v>1</v>
      </c>
    </row>
    <row r="90" spans="1:2" x14ac:dyDescent="0.5">
      <c r="A90" s="18">
        <v>1</v>
      </c>
      <c r="B90" s="22">
        <v>3</v>
      </c>
    </row>
    <row r="91" spans="1:2" x14ac:dyDescent="0.5">
      <c r="A91" s="18" t="s">
        <v>119</v>
      </c>
      <c r="B91" s="22">
        <v>15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F00F-245D-4F67-849A-78FDABB3F399}">
  <dimension ref="A1:T1"/>
  <sheetViews>
    <sheetView showGridLines="0" zoomScale="73" zoomScaleNormal="73" workbookViewId="0">
      <selection activeCell="E4" sqref="E3:E4"/>
    </sheetView>
  </sheetViews>
  <sheetFormatPr defaultRowHeight="18" x14ac:dyDescent="0.5"/>
  <sheetData>
    <row r="1" spans="1:20" ht="45" customHeight="1" x14ac:dyDescent="0.9">
      <c r="A1" s="19" t="s">
        <v>118</v>
      </c>
      <c r="B1" s="20"/>
      <c r="C1" s="20"/>
      <c r="D1" s="20"/>
      <c r="E1" s="20"/>
      <c r="F1" s="20"/>
      <c r="G1" s="20"/>
      <c r="H1" s="20"/>
      <c r="I1" s="20"/>
      <c r="J1" s="20"/>
      <c r="K1" s="20"/>
      <c r="L1" s="20"/>
      <c r="M1" s="20"/>
      <c r="N1" s="20"/>
      <c r="O1" s="20"/>
      <c r="P1" s="20"/>
      <c r="Q1" s="20"/>
      <c r="R1" s="20"/>
      <c r="S1" s="20"/>
      <c r="T1" s="21"/>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Management Data</vt:lpstr>
      <vt:lpstr>Clean and Transformed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Prerana Dutta</cp:lastModifiedBy>
  <dcterms:created xsi:type="dcterms:W3CDTF">2024-02-19T11:44:19Z</dcterms:created>
  <dcterms:modified xsi:type="dcterms:W3CDTF">2026-03-09T14:26:24Z</dcterms:modified>
</cp:coreProperties>
</file>